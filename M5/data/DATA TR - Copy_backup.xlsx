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joh\Desktop\"/>
    </mc:Choice>
  </mc:AlternateContent>
  <xr:revisionPtr revIDLastSave="0" documentId="13_ncr:1_{5BA28765-3131-47FB-A740-359CBB2E58EB}" xr6:coauthVersionLast="47" xr6:coauthVersionMax="47" xr10:uidLastSave="{00000000-0000-0000-0000-000000000000}"/>
  <bookViews>
    <workbookView xWindow="57480" yWindow="7245" windowWidth="29040" windowHeight="15720" xr2:uid="{D711337F-E2FE-4258-9AD1-0A27E806A98F}"/>
  </bookViews>
  <sheets>
    <sheet name="OCR 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3" i="1" l="1"/>
  <c r="Z33" i="1"/>
  <c r="AA33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14" i="1"/>
  <c r="R28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14" i="1"/>
  <c r="R15" i="1"/>
  <c r="R16" i="1"/>
  <c r="R17" i="1"/>
  <c r="R18" i="1"/>
  <c r="R19" i="1"/>
  <c r="R20" i="1"/>
  <c r="R21" i="1"/>
  <c r="R22" i="1"/>
  <c r="R23" i="1"/>
  <c r="R24" i="1"/>
  <c r="R25" i="1"/>
  <c r="R26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14" i="1"/>
  <c r="Q15" i="1"/>
  <c r="Q16" i="1"/>
  <c r="Q17" i="1"/>
  <c r="Q18" i="1"/>
  <c r="Q19" i="1"/>
  <c r="Q20" i="1"/>
  <c r="Q21" i="1"/>
  <c r="Q22" i="1"/>
  <c r="Q23" i="1"/>
  <c r="Q24" i="1"/>
  <c r="Q25" i="1"/>
  <c r="Q26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14" i="1"/>
  <c r="O15" i="1"/>
  <c r="O16" i="1"/>
  <c r="O17" i="1"/>
  <c r="O18" i="1"/>
  <c r="O19" i="1"/>
  <c r="O20" i="1"/>
  <c r="O21" i="1"/>
  <c r="O22" i="1"/>
  <c r="O23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14" i="1"/>
  <c r="N15" i="1"/>
  <c r="N16" i="1"/>
  <c r="N17" i="1"/>
  <c r="N18" i="1"/>
  <c r="N19" i="1"/>
  <c r="N20" i="1"/>
  <c r="N21" i="1"/>
  <c r="N22" i="1"/>
  <c r="N23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14" i="1"/>
  <c r="M15" i="1"/>
  <c r="M16" i="1"/>
  <c r="M17" i="1"/>
  <c r="M18" i="1"/>
  <c r="M1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14" i="1"/>
  <c r="L15" i="1"/>
  <c r="L16" i="1"/>
  <c r="L17" i="1"/>
  <c r="L18" i="1"/>
  <c r="L19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14" i="1"/>
</calcChain>
</file>

<file path=xl/sharedStrings.xml><?xml version="1.0" encoding="utf-8"?>
<sst xmlns="http://schemas.openxmlformats.org/spreadsheetml/2006/main" count="38" uniqueCount="38">
  <si>
    <r>
      <rPr>
        <sz val="11"/>
        <color theme="1"/>
        <rFont val="Cambria"/>
        <family val="1"/>
      </rPr>
      <t>ϒ</t>
    </r>
    <r>
      <rPr>
        <sz val="11"/>
        <color theme="1"/>
        <rFont val="Calibri"/>
        <family val="1"/>
      </rPr>
      <t xml:space="preserve"> (%)</t>
    </r>
    <phoneticPr fontId="19" type="noConversion"/>
  </si>
  <si>
    <t>PI 0</t>
    <phoneticPr fontId="19" type="noConversion"/>
  </si>
  <si>
    <t>PI 15</t>
    <phoneticPr fontId="19" type="noConversion"/>
  </si>
  <si>
    <t>PI 30</t>
    <phoneticPr fontId="19" type="noConversion"/>
  </si>
  <si>
    <t>PI 50</t>
    <phoneticPr fontId="19" type="noConversion"/>
  </si>
  <si>
    <t>PI 100</t>
    <phoneticPr fontId="19" type="noConversion"/>
  </si>
  <si>
    <t>PI 200</t>
    <phoneticPr fontId="19" type="noConversion"/>
  </si>
  <si>
    <t>PI 5</t>
    <phoneticPr fontId="19" type="noConversion"/>
  </si>
  <si>
    <t>PI 10</t>
    <phoneticPr fontId="19" type="noConversion"/>
  </si>
  <si>
    <t>PI 20</t>
    <phoneticPr fontId="19" type="noConversion"/>
  </si>
  <si>
    <t>PI 25</t>
    <phoneticPr fontId="19" type="noConversion"/>
  </si>
  <si>
    <t>PI 35</t>
    <phoneticPr fontId="19" type="noConversion"/>
  </si>
  <si>
    <t>PI 40</t>
    <phoneticPr fontId="19" type="noConversion"/>
  </si>
  <si>
    <t>PI 45</t>
    <phoneticPr fontId="19" type="noConversion"/>
  </si>
  <si>
    <t>PI 60</t>
    <phoneticPr fontId="19" type="noConversion"/>
  </si>
  <si>
    <t>PI 70</t>
    <phoneticPr fontId="19" type="noConversion"/>
  </si>
  <si>
    <t>PI 80</t>
    <phoneticPr fontId="19" type="noConversion"/>
  </si>
  <si>
    <t>PI 90</t>
    <phoneticPr fontId="19" type="noConversion"/>
  </si>
  <si>
    <t>PI 110</t>
    <phoneticPr fontId="19" type="noConversion"/>
  </si>
  <si>
    <t>PI 120</t>
    <phoneticPr fontId="19" type="noConversion"/>
  </si>
  <si>
    <t>PI 130</t>
    <phoneticPr fontId="19" type="noConversion"/>
  </si>
  <si>
    <t>PI 140</t>
    <phoneticPr fontId="19" type="noConversion"/>
  </si>
  <si>
    <t>PI 150</t>
    <phoneticPr fontId="19" type="noConversion"/>
  </si>
  <si>
    <t>PI 160</t>
    <phoneticPr fontId="19" type="noConversion"/>
  </si>
  <si>
    <t>PI 170</t>
    <phoneticPr fontId="19" type="noConversion"/>
  </si>
  <si>
    <t>PI 180</t>
    <phoneticPr fontId="19" type="noConversion"/>
  </si>
  <si>
    <t>PI 190</t>
    <phoneticPr fontId="19" type="noConversion"/>
  </si>
  <si>
    <t>Ip</t>
    <phoneticPr fontId="19" type="noConversion"/>
  </si>
  <si>
    <t>Dp (m)</t>
    <phoneticPr fontId="19" type="noConversion"/>
  </si>
  <si>
    <t>Tp (m)</t>
    <phoneticPr fontId="19" type="noConversion"/>
  </si>
  <si>
    <t>Lp (m)</t>
    <phoneticPr fontId="19" type="noConversion"/>
  </si>
  <si>
    <t>v</t>
    <phoneticPr fontId="19" type="noConversion"/>
  </si>
  <si>
    <t>G/Gmax</t>
    <phoneticPr fontId="19" type="noConversion"/>
  </si>
  <si>
    <t>Gdeg</t>
    <phoneticPr fontId="19" type="noConversion"/>
  </si>
  <si>
    <t>kh</t>
    <phoneticPr fontId="19" type="noConversion"/>
  </si>
  <si>
    <t>KL</t>
    <phoneticPr fontId="19" type="noConversion"/>
  </si>
  <si>
    <t xml:space="preserve">KR </t>
    <phoneticPr fontId="19" type="noConversion"/>
  </si>
  <si>
    <t>KRL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</si>
</sst>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000"/>
  </numFmts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1"/>
    </font>
    <font>
      <sz val="11"/>
      <color theme="1"/>
      <name val="Cambria"/>
      <family val="1"/>
    </font>
    <font>
      <sz val="11"/>
      <color theme="1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0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STIFFNESS DEGRADATION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9135728858575232E-2"/>
          <c:y val="6.8615382419208643E-2"/>
          <c:w val="0.84755465679674491"/>
          <c:h val="0.80332869671354801"/>
        </c:manualLayout>
      </c:layout>
      <c:lineChart>
        <c:grouping val="standard"/>
        <c:varyColors val="0"/>
        <c:ser>
          <c:idx val="1"/>
          <c:order val="0"/>
          <c:tx>
            <c:strRef>
              <c:f>'OCR 0'!$E$13</c:f>
              <c:strCache>
                <c:ptCount val="1"/>
                <c:pt idx="0">
                  <c:v>PI 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'OCR 0'!$D$14:$D$57</c:f>
              <c:numCache>
                <c:formatCode>0.0000</c:formatCode>
                <c:ptCount val="44"/>
                <c:pt idx="0">
                  <c:v>1.0000000000000002E-4</c:v>
                </c:pt>
                <c:pt idx="1">
                  <c:v>1.9000000000000001E-4</c:v>
                </c:pt>
                <c:pt idx="2">
                  <c:v>2.8000000000000003E-4</c:v>
                </c:pt>
                <c:pt idx="3">
                  <c:v>3.7000000000000005E-4</c:v>
                </c:pt>
                <c:pt idx="4">
                  <c:v>4.6000000000000007E-4</c:v>
                </c:pt>
                <c:pt idx="5">
                  <c:v>5.5000000000000003E-4</c:v>
                </c:pt>
                <c:pt idx="6">
                  <c:v>6.4000000000000005E-4</c:v>
                </c:pt>
                <c:pt idx="7">
                  <c:v>7.3000000000000007E-4</c:v>
                </c:pt>
                <c:pt idx="8">
                  <c:v>8.2000000000000009E-4</c:v>
                </c:pt>
                <c:pt idx="9">
                  <c:v>9.1000000000000011E-4</c:v>
                </c:pt>
                <c:pt idx="10">
                  <c:v>1E-3</c:v>
                </c:pt>
                <c:pt idx="11">
                  <c:v>1.9000000000000002E-3</c:v>
                </c:pt>
                <c:pt idx="12">
                  <c:v>2.8000000000000004E-3</c:v>
                </c:pt>
                <c:pt idx="13">
                  <c:v>3.7000000000000006E-3</c:v>
                </c:pt>
                <c:pt idx="14">
                  <c:v>4.6000000000000008E-3</c:v>
                </c:pt>
                <c:pt idx="15">
                  <c:v>5.5000000000000005E-3</c:v>
                </c:pt>
                <c:pt idx="16">
                  <c:v>6.4000000000000003E-3</c:v>
                </c:pt>
                <c:pt idx="17">
                  <c:v>7.3000000000000001E-3</c:v>
                </c:pt>
                <c:pt idx="18">
                  <c:v>8.2000000000000007E-3</c:v>
                </c:pt>
                <c:pt idx="19">
                  <c:v>9.1000000000000004E-3</c:v>
                </c:pt>
                <c:pt idx="20">
                  <c:v>0.01</c:v>
                </c:pt>
                <c:pt idx="21">
                  <c:v>1.9000000000000003E-2</c:v>
                </c:pt>
                <c:pt idx="22">
                  <c:v>2.8000000000000004E-2</c:v>
                </c:pt>
                <c:pt idx="23">
                  <c:v>3.7000000000000005E-2</c:v>
                </c:pt>
                <c:pt idx="24">
                  <c:v>4.6000000000000006E-2</c:v>
                </c:pt>
                <c:pt idx="25">
                  <c:v>5.5000000000000007E-2</c:v>
                </c:pt>
                <c:pt idx="26">
                  <c:v>6.4000000000000001E-2</c:v>
                </c:pt>
                <c:pt idx="27">
                  <c:v>7.3000000000000009E-2</c:v>
                </c:pt>
                <c:pt idx="28">
                  <c:v>8.2000000000000017E-2</c:v>
                </c:pt>
                <c:pt idx="29">
                  <c:v>9.1000000000000025E-2</c:v>
                </c:pt>
                <c:pt idx="30">
                  <c:v>0.10000000000000003</c:v>
                </c:pt>
                <c:pt idx="31">
                  <c:v>0.19000000000000003</c:v>
                </c:pt>
                <c:pt idx="32">
                  <c:v>0.28000000000000003</c:v>
                </c:pt>
                <c:pt idx="33">
                  <c:v>0.37</c:v>
                </c:pt>
                <c:pt idx="34">
                  <c:v>0.45999999999999996</c:v>
                </c:pt>
                <c:pt idx="35">
                  <c:v>0.54999999999999993</c:v>
                </c:pt>
                <c:pt idx="36">
                  <c:v>0.6399999999999999</c:v>
                </c:pt>
                <c:pt idx="37">
                  <c:v>0.72999999999999987</c:v>
                </c:pt>
                <c:pt idx="38">
                  <c:v>0.81999999999999984</c:v>
                </c:pt>
                <c:pt idx="39">
                  <c:v>0.90999999999999981</c:v>
                </c:pt>
                <c:pt idx="40">
                  <c:v>1</c:v>
                </c:pt>
                <c:pt idx="41">
                  <c:v>1.9</c:v>
                </c:pt>
                <c:pt idx="42">
                  <c:v>2.8</c:v>
                </c:pt>
                <c:pt idx="43">
                  <c:v>3.6999999999999997</c:v>
                </c:pt>
              </c:numCache>
            </c:numRef>
          </c:cat>
          <c:val>
            <c:numRef>
              <c:f>'OCR 0'!$E$14:$E$57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 formatCode="General">
                  <c:v>0.99743918053777203</c:v>
                </c:pt>
                <c:pt idx="7" formatCode="General">
                  <c:v>0.99487836107554395</c:v>
                </c:pt>
                <c:pt idx="8" formatCode="General">
                  <c:v>0.98719590268886004</c:v>
                </c:pt>
                <c:pt idx="9" formatCode="General">
                  <c:v>0.97695262483994805</c:v>
                </c:pt>
                <c:pt idx="10" formatCode="General">
                  <c:v>0.96542893725992296</c:v>
                </c:pt>
                <c:pt idx="11" formatCode="General">
                  <c:v>0.95198463508322595</c:v>
                </c:pt>
                <c:pt idx="12" formatCode="General">
                  <c:v>0.93854033290653005</c:v>
                </c:pt>
                <c:pt idx="13" formatCode="General">
                  <c:v>0.92125480153649097</c:v>
                </c:pt>
                <c:pt idx="14" formatCode="General">
                  <c:v>0.90076824583866799</c:v>
                </c:pt>
                <c:pt idx="15" formatCode="General">
                  <c:v>0.87836107554417397</c:v>
                </c:pt>
                <c:pt idx="16" formatCode="General">
                  <c:v>0.85147247119078096</c:v>
                </c:pt>
                <c:pt idx="17" formatCode="General">
                  <c:v>0.82202304737515997</c:v>
                </c:pt>
                <c:pt idx="18" formatCode="General">
                  <c:v>0.79001280409731101</c:v>
                </c:pt>
                <c:pt idx="19" formatCode="General">
                  <c:v>0.75608194622279101</c:v>
                </c:pt>
                <c:pt idx="20" formatCode="General">
                  <c:v>0.71382842509602995</c:v>
                </c:pt>
                <c:pt idx="21" formatCode="General">
                  <c:v>0.66965428937259897</c:v>
                </c:pt>
                <c:pt idx="22" formatCode="General">
                  <c:v>0.62548015364916698</c:v>
                </c:pt>
                <c:pt idx="23" formatCode="General">
                  <c:v>0.581306017925736</c:v>
                </c:pt>
                <c:pt idx="24" formatCode="General">
                  <c:v>0.53329065300896195</c:v>
                </c:pt>
                <c:pt idx="25" formatCode="General">
                  <c:v>0.485915492957746</c:v>
                </c:pt>
                <c:pt idx="26" formatCode="General">
                  <c:v>0.43405889884763099</c:v>
                </c:pt>
                <c:pt idx="27" formatCode="General">
                  <c:v>0.386043533930858</c:v>
                </c:pt>
                <c:pt idx="28" formatCode="General">
                  <c:v>0.33994878361075498</c:v>
                </c:pt>
                <c:pt idx="29" formatCode="General">
                  <c:v>0.29577464788732399</c:v>
                </c:pt>
                <c:pt idx="30" formatCode="General">
                  <c:v>0.25864276568501898</c:v>
                </c:pt>
                <c:pt idx="31" formatCode="General">
                  <c:v>0.21959026888604299</c:v>
                </c:pt>
                <c:pt idx="32" formatCode="General">
                  <c:v>0.18693982074263699</c:v>
                </c:pt>
                <c:pt idx="33" formatCode="General">
                  <c:v>0.15877080665813001</c:v>
                </c:pt>
                <c:pt idx="34" formatCode="General">
                  <c:v>0.13124199743918</c:v>
                </c:pt>
                <c:pt idx="35" formatCode="General">
                  <c:v>0.106914212548015</c:v>
                </c:pt>
                <c:pt idx="36" formatCode="General">
                  <c:v>8.5787451984635096E-2</c:v>
                </c:pt>
                <c:pt idx="37" formatCode="General">
                  <c:v>6.8501920614596701E-2</c:v>
                </c:pt>
                <c:pt idx="38" formatCode="General">
                  <c:v>4.9935979513444299E-2</c:v>
                </c:pt>
                <c:pt idx="39" formatCode="General">
                  <c:v>3.5851472471190797E-2</c:v>
                </c:pt>
                <c:pt idx="40" formatCode="General">
                  <c:v>2.4967989756722E-2</c:v>
                </c:pt>
                <c:pt idx="41" formatCode="General">
                  <c:v>2.4327785000000001E-2</c:v>
                </c:pt>
                <c:pt idx="42" formatCode="General">
                  <c:v>2.1126761000000001E-2</c:v>
                </c:pt>
                <c:pt idx="43" formatCode="General">
                  <c:v>1.8565940999999999E-2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30-4E74-931D-D7843237669C}"/>
            </c:ext>
          </c:extLst>
        </c:ser>
        <c:ser>
          <c:idx val="6"/>
          <c:order val="1"/>
          <c:tx>
            <c:strRef>
              <c:f>'OCR 0'!$L$13</c:f>
              <c:strCache>
                <c:ptCount val="1"/>
                <c:pt idx="0">
                  <c:v>PI 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0'!$L$14:$L$57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0.99658557405036263</c:v>
                </c:pt>
                <c:pt idx="8">
                  <c:v>0.99146393512590669</c:v>
                </c:pt>
                <c:pt idx="9">
                  <c:v>0.98463508322663207</c:v>
                </c:pt>
                <c:pt idx="10">
                  <c:v>0.97609901850661529</c:v>
                </c:pt>
                <c:pt idx="11">
                  <c:v>0.96457533072215063</c:v>
                </c:pt>
                <c:pt idx="12">
                  <c:v>0.95283824160435338</c:v>
                </c:pt>
                <c:pt idx="13">
                  <c:v>0.9376867263576607</c:v>
                </c:pt>
                <c:pt idx="14">
                  <c:v>0.91912078522577867</c:v>
                </c:pt>
                <c:pt idx="15">
                  <c:v>0.89842082802944934</c:v>
                </c:pt>
                <c:pt idx="16">
                  <c:v>0.874306444793854</c:v>
                </c:pt>
                <c:pt idx="17">
                  <c:v>0.84784464358344003</c:v>
                </c:pt>
                <c:pt idx="18">
                  <c:v>0.81860862139820734</c:v>
                </c:pt>
                <c:pt idx="19">
                  <c:v>0.78809218948186066</c:v>
                </c:pt>
                <c:pt idx="20">
                  <c:v>0.74989329906401991</c:v>
                </c:pt>
                <c:pt idx="21">
                  <c:v>0.70977379424839926</c:v>
                </c:pt>
                <c:pt idx="22">
                  <c:v>0.66944088776611133</c:v>
                </c:pt>
                <c:pt idx="23">
                  <c:v>0.62953478461715728</c:v>
                </c:pt>
                <c:pt idx="24">
                  <c:v>0.58536064867264126</c:v>
                </c:pt>
                <c:pt idx="25">
                  <c:v>0.5401195049718307</c:v>
                </c:pt>
                <c:pt idx="26">
                  <c:v>0.49103713189842063</c:v>
                </c:pt>
                <c:pt idx="27">
                  <c:v>0.44259496362057199</c:v>
                </c:pt>
                <c:pt idx="28">
                  <c:v>0.39628681174050334</c:v>
                </c:pt>
                <c:pt idx="29">
                  <c:v>0.35019206159154931</c:v>
                </c:pt>
                <c:pt idx="30">
                  <c:v>0.31092616312334598</c:v>
                </c:pt>
                <c:pt idx="31">
                  <c:v>0.26888604359069534</c:v>
                </c:pt>
                <c:pt idx="32">
                  <c:v>0.23303457116175799</c:v>
                </c:pt>
                <c:pt idx="33">
                  <c:v>0.20145113110542001</c:v>
                </c:pt>
                <c:pt idx="34">
                  <c:v>0.17050789595945332</c:v>
                </c:pt>
                <c:pt idx="35">
                  <c:v>0.14276568503201001</c:v>
                </c:pt>
                <c:pt idx="36">
                  <c:v>0.11907810498975674</c:v>
                </c:pt>
                <c:pt idx="37">
                  <c:v>9.8804951076397793E-2</c:v>
                </c:pt>
                <c:pt idx="38">
                  <c:v>7.8104993675629536E-2</c:v>
                </c:pt>
                <c:pt idx="39">
                  <c:v>6.1673068647460527E-2</c:v>
                </c:pt>
                <c:pt idx="40">
                  <c:v>4.8655569837814661E-2</c:v>
                </c:pt>
                <c:pt idx="41">
                  <c:v>4.3960734333333334E-2</c:v>
                </c:pt>
                <c:pt idx="42">
                  <c:v>3.9906103666666665E-2</c:v>
                </c:pt>
                <c:pt idx="43">
                  <c:v>3.5638070666666667E-2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130-4E74-931D-D7843237669C}"/>
            </c:ext>
          </c:extLst>
        </c:ser>
        <c:ser>
          <c:idx val="7"/>
          <c:order val="2"/>
          <c:tx>
            <c:strRef>
              <c:f>'OCR 0'!$M$13</c:f>
              <c:strCache>
                <c:ptCount val="1"/>
                <c:pt idx="0">
                  <c:v>PI 10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0'!$M$14:$M$57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0.99573196756295335</c:v>
                </c:pt>
                <c:pt idx="9">
                  <c:v>0.99231754161331598</c:v>
                </c:pt>
                <c:pt idx="10">
                  <c:v>0.98676909975330762</c:v>
                </c:pt>
                <c:pt idx="11">
                  <c:v>0.9771660263610753</c:v>
                </c:pt>
                <c:pt idx="12">
                  <c:v>0.9671361503021767</c:v>
                </c:pt>
                <c:pt idx="13">
                  <c:v>0.95411865117883032</c:v>
                </c:pt>
                <c:pt idx="14">
                  <c:v>0.93747332461288935</c:v>
                </c:pt>
                <c:pt idx="15">
                  <c:v>0.91848058051472459</c:v>
                </c:pt>
                <c:pt idx="16">
                  <c:v>0.89714041839692693</c:v>
                </c:pt>
                <c:pt idx="17">
                  <c:v>0.87366623979171998</c:v>
                </c:pt>
                <c:pt idx="18">
                  <c:v>0.84720443869910367</c:v>
                </c:pt>
                <c:pt idx="19">
                  <c:v>0.82010243274093031</c:v>
                </c:pt>
                <c:pt idx="20">
                  <c:v>0.78595817303200999</c:v>
                </c:pt>
                <c:pt idx="21">
                  <c:v>0.74989329912419966</c:v>
                </c:pt>
                <c:pt idx="22">
                  <c:v>0.71340162188305567</c:v>
                </c:pt>
                <c:pt idx="23">
                  <c:v>0.67776355130857868</c:v>
                </c:pt>
                <c:pt idx="24">
                  <c:v>0.63743064433632068</c:v>
                </c:pt>
                <c:pt idx="25">
                  <c:v>0.59432351698591535</c:v>
                </c:pt>
                <c:pt idx="26">
                  <c:v>0.54801536494921033</c:v>
                </c:pt>
                <c:pt idx="27">
                  <c:v>0.49914639331028604</c:v>
                </c:pt>
                <c:pt idx="28">
                  <c:v>0.45262483987025165</c:v>
                </c:pt>
                <c:pt idx="29">
                  <c:v>0.40460947529577468</c:v>
                </c:pt>
                <c:pt idx="30">
                  <c:v>0.36320956056167297</c:v>
                </c:pt>
                <c:pt idx="31">
                  <c:v>0.31818181829534764</c:v>
                </c:pt>
                <c:pt idx="32">
                  <c:v>0.279129321580879</c:v>
                </c:pt>
                <c:pt idx="33">
                  <c:v>0.24413145555271001</c:v>
                </c:pt>
                <c:pt idx="34">
                  <c:v>0.20977379447972666</c:v>
                </c:pt>
                <c:pt idx="35">
                  <c:v>0.17861715751600499</c:v>
                </c:pt>
                <c:pt idx="36">
                  <c:v>0.15236875799487837</c:v>
                </c:pt>
                <c:pt idx="37">
                  <c:v>0.12910798153819888</c:v>
                </c:pt>
                <c:pt idx="38">
                  <c:v>0.10627400783781477</c:v>
                </c:pt>
                <c:pt idx="39">
                  <c:v>8.7494664823730264E-2</c:v>
                </c:pt>
                <c:pt idx="40">
                  <c:v>7.2343149918907335E-2</c:v>
                </c:pt>
                <c:pt idx="41">
                  <c:v>6.3593683666666664E-2</c:v>
                </c:pt>
                <c:pt idx="42">
                  <c:v>5.8685446333333335E-2</c:v>
                </c:pt>
                <c:pt idx="43">
                  <c:v>5.2710200333333332E-2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30-4E74-931D-D7843237669C}"/>
            </c:ext>
          </c:extLst>
        </c:ser>
        <c:ser>
          <c:idx val="0"/>
          <c:order val="3"/>
          <c:tx>
            <c:strRef>
              <c:f>'OCR 0'!$F$13</c:f>
              <c:strCache>
                <c:ptCount val="1"/>
                <c:pt idx="0">
                  <c:v>PI 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'OCR 0'!$F$14:$F$57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 formatCode="General">
                  <c:v>0.99743918099999995</c:v>
                </c:pt>
                <c:pt idx="11" formatCode="General">
                  <c:v>0.98975672199999998</c:v>
                </c:pt>
                <c:pt idx="12" formatCode="General">
                  <c:v>0.98143405900000003</c:v>
                </c:pt>
                <c:pt idx="13" formatCode="General">
                  <c:v>0.97055057600000005</c:v>
                </c:pt>
                <c:pt idx="14" formatCode="General">
                  <c:v>0.95582586400000003</c:v>
                </c:pt>
                <c:pt idx="15" formatCode="General">
                  <c:v>0.93854033299999995</c:v>
                </c:pt>
                <c:pt idx="16" formatCode="General">
                  <c:v>0.91997439199999997</c:v>
                </c:pt>
                <c:pt idx="17" formatCode="General">
                  <c:v>0.89948783600000004</c:v>
                </c:pt>
                <c:pt idx="18" formatCode="General">
                  <c:v>0.875800256</c:v>
                </c:pt>
                <c:pt idx="19" formatCode="General">
                  <c:v>0.85211267599999996</c:v>
                </c:pt>
                <c:pt idx="20" formatCode="General">
                  <c:v>0.82202304699999995</c:v>
                </c:pt>
                <c:pt idx="21" formatCode="General">
                  <c:v>0.79001280399999996</c:v>
                </c:pt>
                <c:pt idx="22" formatCode="General">
                  <c:v>0.75736235600000001</c:v>
                </c:pt>
                <c:pt idx="23" formatCode="General">
                  <c:v>0.72599231799999997</c:v>
                </c:pt>
                <c:pt idx="24" formatCode="General">
                  <c:v>0.68950064</c:v>
                </c:pt>
                <c:pt idx="25" formatCode="General">
                  <c:v>0.64852752899999999</c:v>
                </c:pt>
                <c:pt idx="26" formatCode="General">
                  <c:v>0.60499359799999997</c:v>
                </c:pt>
                <c:pt idx="27" formatCode="General">
                  <c:v>0.55569782300000004</c:v>
                </c:pt>
                <c:pt idx="28" formatCode="General">
                  <c:v>0.50896286800000001</c:v>
                </c:pt>
                <c:pt idx="29" formatCode="General">
                  <c:v>0.45902688899999999</c:v>
                </c:pt>
                <c:pt idx="30" formatCode="General">
                  <c:v>0.41549295800000002</c:v>
                </c:pt>
                <c:pt idx="31" formatCode="General">
                  <c:v>0.36747759299999999</c:v>
                </c:pt>
                <c:pt idx="32" formatCode="General">
                  <c:v>0.32522407199999998</c:v>
                </c:pt>
                <c:pt idx="33" formatCode="General">
                  <c:v>0.28681178000000002</c:v>
                </c:pt>
                <c:pt idx="34" formatCode="General">
                  <c:v>0.24903969300000001</c:v>
                </c:pt>
                <c:pt idx="35" formatCode="General">
                  <c:v>0.21446862999999999</c:v>
                </c:pt>
                <c:pt idx="36" formatCode="General">
                  <c:v>0.185659411</c:v>
                </c:pt>
                <c:pt idx="37" formatCode="General">
                  <c:v>0.15941101199999999</c:v>
                </c:pt>
                <c:pt idx="38" formatCode="General">
                  <c:v>0.134443022</c:v>
                </c:pt>
                <c:pt idx="39" formatCode="General">
                  <c:v>0.113316261</c:v>
                </c:pt>
                <c:pt idx="40" formatCode="General">
                  <c:v>9.6030729999999995E-2</c:v>
                </c:pt>
                <c:pt idx="41" formatCode="General">
                  <c:v>8.3226632999999994E-2</c:v>
                </c:pt>
                <c:pt idx="42" formatCode="General">
                  <c:v>7.7464789000000006E-2</c:v>
                </c:pt>
                <c:pt idx="43" formatCode="General">
                  <c:v>6.9782330000000004E-2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30-4E74-931D-D7843237669C}"/>
            </c:ext>
          </c:extLst>
        </c:ser>
        <c:ser>
          <c:idx val="8"/>
          <c:order val="4"/>
          <c:tx>
            <c:strRef>
              <c:f>'OCR 0'!$N$13</c:f>
              <c:strCache>
                <c:ptCount val="1"/>
                <c:pt idx="0">
                  <c:v>PI 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0'!$N$14:$N$57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0.99317114799999995</c:v>
                </c:pt>
                <c:pt idx="12">
                  <c:v>0.98762270600000002</c:v>
                </c:pt>
                <c:pt idx="13">
                  <c:v>0.97951344433333332</c:v>
                </c:pt>
                <c:pt idx="14">
                  <c:v>0.96713614999999997</c:v>
                </c:pt>
                <c:pt idx="15">
                  <c:v>0.95262483999999992</c:v>
                </c:pt>
                <c:pt idx="16">
                  <c:v>0.93683311999999996</c:v>
                </c:pt>
                <c:pt idx="17">
                  <c:v>0.91912078533333341</c:v>
                </c:pt>
                <c:pt idx="18">
                  <c:v>0.89863422966666662</c:v>
                </c:pt>
                <c:pt idx="19">
                  <c:v>0.87686726399999992</c:v>
                </c:pt>
                <c:pt idx="20">
                  <c:v>0.85040546266666661</c:v>
                </c:pt>
                <c:pt idx="21">
                  <c:v>0.81967562933333327</c:v>
                </c:pt>
                <c:pt idx="22">
                  <c:v>0.78873239433333331</c:v>
                </c:pt>
                <c:pt idx="23">
                  <c:v>0.7577891596666666</c:v>
                </c:pt>
                <c:pt idx="24">
                  <c:v>0.72257789133333328</c:v>
                </c:pt>
                <c:pt idx="25">
                  <c:v>0.68288519000000003</c:v>
                </c:pt>
                <c:pt idx="26">
                  <c:v>0.64105847199999999</c:v>
                </c:pt>
                <c:pt idx="27">
                  <c:v>0.59432351666666672</c:v>
                </c:pt>
                <c:pt idx="28">
                  <c:v>0.54865556966666662</c:v>
                </c:pt>
                <c:pt idx="29">
                  <c:v>0.50085360666666667</c:v>
                </c:pt>
                <c:pt idx="30">
                  <c:v>0.45753307733333332</c:v>
                </c:pt>
                <c:pt idx="31">
                  <c:v>0.41165172866666666</c:v>
                </c:pt>
                <c:pt idx="32">
                  <c:v>0.36918480599999998</c:v>
                </c:pt>
                <c:pt idx="33">
                  <c:v>0.32949210433333337</c:v>
                </c:pt>
                <c:pt idx="34">
                  <c:v>0.29172001733333336</c:v>
                </c:pt>
                <c:pt idx="35">
                  <c:v>0.25544174133333331</c:v>
                </c:pt>
                <c:pt idx="36">
                  <c:v>0.22407170299999998</c:v>
                </c:pt>
                <c:pt idx="37">
                  <c:v>0.19547588599999999</c:v>
                </c:pt>
                <c:pt idx="38">
                  <c:v>0.16709346999999999</c:v>
                </c:pt>
                <c:pt idx="39">
                  <c:v>0.14148527499999999</c:v>
                </c:pt>
                <c:pt idx="40">
                  <c:v>0.11971830999999999</c:v>
                </c:pt>
                <c:pt idx="41">
                  <c:v>0.10072556566666667</c:v>
                </c:pt>
                <c:pt idx="42">
                  <c:v>9.1335894333333334E-2</c:v>
                </c:pt>
                <c:pt idx="43">
                  <c:v>8.066581266666667E-2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130-4E74-931D-D7843237669C}"/>
            </c:ext>
          </c:extLst>
        </c:ser>
        <c:ser>
          <c:idx val="9"/>
          <c:order val="5"/>
          <c:tx>
            <c:strRef>
              <c:f>'OCR 0'!$O$13</c:f>
              <c:strCache>
                <c:ptCount val="1"/>
                <c:pt idx="0">
                  <c:v>PI 25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0'!$O$14:$O$57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0.98847631266666669</c:v>
                </c:pt>
                <c:pt idx="14">
                  <c:v>0.97844643600000003</c:v>
                </c:pt>
                <c:pt idx="15">
                  <c:v>0.966709347</c:v>
                </c:pt>
                <c:pt idx="16">
                  <c:v>0.95369184800000006</c:v>
                </c:pt>
                <c:pt idx="17">
                  <c:v>0.93875373466666667</c:v>
                </c:pt>
                <c:pt idx="18">
                  <c:v>0.92146820333333335</c:v>
                </c:pt>
                <c:pt idx="19">
                  <c:v>0.901621852</c:v>
                </c:pt>
                <c:pt idx="20">
                  <c:v>0.87878787833333338</c:v>
                </c:pt>
                <c:pt idx="21">
                  <c:v>0.84933845466666669</c:v>
                </c:pt>
                <c:pt idx="22">
                  <c:v>0.82010243266666671</c:v>
                </c:pt>
                <c:pt idx="23">
                  <c:v>0.78958600133333334</c:v>
                </c:pt>
                <c:pt idx="24">
                  <c:v>0.75565514266666667</c:v>
                </c:pt>
                <c:pt idx="25">
                  <c:v>0.71724285099999996</c:v>
                </c:pt>
                <c:pt idx="26">
                  <c:v>0.67712334600000001</c:v>
                </c:pt>
                <c:pt idx="27">
                  <c:v>0.63294921033333329</c:v>
                </c:pt>
                <c:pt idx="28">
                  <c:v>0.58834827133333334</c:v>
                </c:pt>
                <c:pt idx="29">
                  <c:v>0.54268032433333335</c:v>
                </c:pt>
                <c:pt idx="30">
                  <c:v>0.49957319666666666</c:v>
                </c:pt>
                <c:pt idx="31">
                  <c:v>0.45582586433333333</c:v>
                </c:pt>
                <c:pt idx="32">
                  <c:v>0.41314553999999998</c:v>
                </c:pt>
                <c:pt idx="33">
                  <c:v>0.37217242866666667</c:v>
                </c:pt>
                <c:pt idx="34">
                  <c:v>0.33440034166666666</c:v>
                </c:pt>
                <c:pt idx="35">
                  <c:v>0.29641485266666667</c:v>
                </c:pt>
                <c:pt idx="36">
                  <c:v>0.26248399499999997</c:v>
                </c:pt>
                <c:pt idx="37">
                  <c:v>0.23154075999999998</c:v>
                </c:pt>
                <c:pt idx="38">
                  <c:v>0.19974391799999999</c:v>
                </c:pt>
                <c:pt idx="39">
                  <c:v>0.16965428900000001</c:v>
                </c:pt>
                <c:pt idx="40">
                  <c:v>0.14340588999999998</c:v>
                </c:pt>
                <c:pt idx="41">
                  <c:v>0.11822449833333334</c:v>
                </c:pt>
                <c:pt idx="42">
                  <c:v>0.10520699966666668</c:v>
                </c:pt>
                <c:pt idx="43">
                  <c:v>9.1549295333333336E-2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130-4E74-931D-D7843237669C}"/>
            </c:ext>
          </c:extLst>
        </c:ser>
        <c:ser>
          <c:idx val="2"/>
          <c:order val="6"/>
          <c:tx>
            <c:strRef>
              <c:f>'OCR 0'!$G$13</c:f>
              <c:strCache>
                <c:ptCount val="1"/>
                <c:pt idx="0">
                  <c:v>PI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'OCR 0'!$G$14:$G$57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 formatCode="General">
                  <c:v>0.99743918099999995</c:v>
                </c:pt>
                <c:pt idx="14" formatCode="General">
                  <c:v>0.98975672199999998</c:v>
                </c:pt>
                <c:pt idx="15" formatCode="General">
                  <c:v>0.98079385399999996</c:v>
                </c:pt>
                <c:pt idx="16" formatCode="General">
                  <c:v>0.97055057600000005</c:v>
                </c:pt>
                <c:pt idx="17" formatCode="General">
                  <c:v>0.95838668400000004</c:v>
                </c:pt>
                <c:pt idx="18" formatCode="General">
                  <c:v>0.94430217699999996</c:v>
                </c:pt>
                <c:pt idx="19" formatCode="General">
                  <c:v>0.92637643999999997</c:v>
                </c:pt>
                <c:pt idx="20" formatCode="General">
                  <c:v>0.90717029400000004</c:v>
                </c:pt>
                <c:pt idx="21" formatCode="General">
                  <c:v>0.87900128</c:v>
                </c:pt>
                <c:pt idx="22" formatCode="General">
                  <c:v>0.85147247100000001</c:v>
                </c:pt>
                <c:pt idx="23" formatCode="General">
                  <c:v>0.82138284299999997</c:v>
                </c:pt>
                <c:pt idx="24" formatCode="General">
                  <c:v>0.78873239399999995</c:v>
                </c:pt>
                <c:pt idx="25" formatCode="General">
                  <c:v>0.751600512</c:v>
                </c:pt>
                <c:pt idx="26" formatCode="General">
                  <c:v>0.71318822000000004</c:v>
                </c:pt>
                <c:pt idx="27" formatCode="General">
                  <c:v>0.67157490399999997</c:v>
                </c:pt>
                <c:pt idx="28" formatCode="General">
                  <c:v>0.62804097299999995</c:v>
                </c:pt>
                <c:pt idx="29" formatCode="General">
                  <c:v>0.58450704200000003</c:v>
                </c:pt>
                <c:pt idx="30" formatCode="General">
                  <c:v>0.54161331599999996</c:v>
                </c:pt>
                <c:pt idx="31" formatCode="General">
                  <c:v>0.5</c:v>
                </c:pt>
                <c:pt idx="32" formatCode="General">
                  <c:v>0.45710627399999998</c:v>
                </c:pt>
                <c:pt idx="33" formatCode="General">
                  <c:v>0.41485275300000002</c:v>
                </c:pt>
                <c:pt idx="34" formatCode="General">
                  <c:v>0.37708066600000001</c:v>
                </c:pt>
                <c:pt idx="35" formatCode="General">
                  <c:v>0.33738796399999998</c:v>
                </c:pt>
                <c:pt idx="36" formatCode="General">
                  <c:v>0.30089628699999998</c:v>
                </c:pt>
                <c:pt idx="37" formatCode="General">
                  <c:v>0.26760563399999998</c:v>
                </c:pt>
                <c:pt idx="38" formatCode="General">
                  <c:v>0.23239436599999999</c:v>
                </c:pt>
                <c:pt idx="39" formatCode="General">
                  <c:v>0.19782330300000001</c:v>
                </c:pt>
                <c:pt idx="40" formatCode="General">
                  <c:v>0.16709346999999999</c:v>
                </c:pt>
                <c:pt idx="41" formatCode="General">
                  <c:v>0.13572343100000001</c:v>
                </c:pt>
                <c:pt idx="42" formatCode="General">
                  <c:v>0.119078105</c:v>
                </c:pt>
                <c:pt idx="43" formatCode="General">
                  <c:v>0.102432778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30-4E74-931D-D7843237669C}"/>
            </c:ext>
          </c:extLst>
        </c:ser>
        <c:ser>
          <c:idx val="10"/>
          <c:order val="7"/>
          <c:tx>
            <c:strRef>
              <c:f>'OCR 0'!$P$13</c:f>
              <c:strCache>
                <c:ptCount val="1"/>
                <c:pt idx="0">
                  <c:v>PI 35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0'!$P$14:$P$57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0.99807938574999999</c:v>
                </c:pt>
                <c:pt idx="14">
                  <c:v>0.99231754149999996</c:v>
                </c:pt>
                <c:pt idx="15">
                  <c:v>0.98543533924999993</c:v>
                </c:pt>
                <c:pt idx="16">
                  <c:v>0.97663252225000008</c:v>
                </c:pt>
                <c:pt idx="17">
                  <c:v>0.96542893750000003</c:v>
                </c:pt>
                <c:pt idx="18">
                  <c:v>0.95326504499999998</c:v>
                </c:pt>
                <c:pt idx="19">
                  <c:v>0.93709987149999996</c:v>
                </c:pt>
                <c:pt idx="20">
                  <c:v>0.91933418649999998</c:v>
                </c:pt>
                <c:pt idx="21">
                  <c:v>0.89468629924999998</c:v>
                </c:pt>
                <c:pt idx="22">
                  <c:v>0.86971830974999997</c:v>
                </c:pt>
                <c:pt idx="23">
                  <c:v>0.84218950100000001</c:v>
                </c:pt>
                <c:pt idx="24">
                  <c:v>0.81193982049999991</c:v>
                </c:pt>
                <c:pt idx="25">
                  <c:v>0.77672855299999999</c:v>
                </c:pt>
                <c:pt idx="26">
                  <c:v>0.74023687574999997</c:v>
                </c:pt>
                <c:pt idx="27">
                  <c:v>0.70086427649999994</c:v>
                </c:pt>
                <c:pt idx="28">
                  <c:v>0.65925096024999996</c:v>
                </c:pt>
                <c:pt idx="29">
                  <c:v>0.61763764374999996</c:v>
                </c:pt>
                <c:pt idx="30">
                  <c:v>0.57634443000000002</c:v>
                </c:pt>
                <c:pt idx="31">
                  <c:v>0.53505121649999998</c:v>
                </c:pt>
                <c:pt idx="32">
                  <c:v>0.49295774649999996</c:v>
                </c:pt>
                <c:pt idx="33">
                  <c:v>0.45022407175000001</c:v>
                </c:pt>
                <c:pt idx="34">
                  <c:v>0.41069142150000004</c:v>
                </c:pt>
                <c:pt idx="35">
                  <c:v>0.37035851450000001</c:v>
                </c:pt>
                <c:pt idx="36">
                  <c:v>0.33226632524999999</c:v>
                </c:pt>
                <c:pt idx="37">
                  <c:v>0.29705505774999996</c:v>
                </c:pt>
                <c:pt idx="38">
                  <c:v>0.25928297049999999</c:v>
                </c:pt>
                <c:pt idx="39">
                  <c:v>0.22199103675000001</c:v>
                </c:pt>
                <c:pt idx="40">
                  <c:v>0.188540333</c:v>
                </c:pt>
                <c:pt idx="41">
                  <c:v>0.15284891125</c:v>
                </c:pt>
                <c:pt idx="42">
                  <c:v>0.13108194625</c:v>
                </c:pt>
                <c:pt idx="43">
                  <c:v>0.11075544125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130-4E74-931D-D7843237669C}"/>
            </c:ext>
          </c:extLst>
        </c:ser>
        <c:ser>
          <c:idx val="11"/>
          <c:order val="8"/>
          <c:tx>
            <c:strRef>
              <c:f>'OCR 0'!$Q$13</c:f>
              <c:strCache>
                <c:ptCount val="1"/>
                <c:pt idx="0">
                  <c:v>PI 40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0'!$Q$14:$Q$57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0.99487836100000004</c:v>
                </c:pt>
                <c:pt idx="15">
                  <c:v>0.99007682450000001</c:v>
                </c:pt>
                <c:pt idx="16">
                  <c:v>0.98271446849999999</c:v>
                </c:pt>
                <c:pt idx="17">
                  <c:v>0.97247119100000001</c:v>
                </c:pt>
                <c:pt idx="18">
                  <c:v>0.96222791299999999</c:v>
                </c:pt>
                <c:pt idx="19">
                  <c:v>0.94782330300000006</c:v>
                </c:pt>
                <c:pt idx="20">
                  <c:v>0.93149807900000003</c:v>
                </c:pt>
                <c:pt idx="21">
                  <c:v>0.91037131849999997</c:v>
                </c:pt>
                <c:pt idx="22">
                  <c:v>0.88796414850000005</c:v>
                </c:pt>
                <c:pt idx="23">
                  <c:v>0.86299615899999993</c:v>
                </c:pt>
                <c:pt idx="24">
                  <c:v>0.83514724699999998</c:v>
                </c:pt>
                <c:pt idx="25">
                  <c:v>0.80185659399999998</c:v>
                </c:pt>
                <c:pt idx="26">
                  <c:v>0.76728553150000001</c:v>
                </c:pt>
                <c:pt idx="27">
                  <c:v>0.73015364900000002</c:v>
                </c:pt>
                <c:pt idx="28">
                  <c:v>0.69046094749999998</c:v>
                </c:pt>
                <c:pt idx="29">
                  <c:v>0.65076824550000001</c:v>
                </c:pt>
                <c:pt idx="30">
                  <c:v>0.61107554399999997</c:v>
                </c:pt>
                <c:pt idx="31">
                  <c:v>0.57010243299999996</c:v>
                </c:pt>
                <c:pt idx="32">
                  <c:v>0.528809219</c:v>
                </c:pt>
                <c:pt idx="33">
                  <c:v>0.4855953905</c:v>
                </c:pt>
                <c:pt idx="34">
                  <c:v>0.44430217700000002</c:v>
                </c:pt>
                <c:pt idx="35">
                  <c:v>0.40332906499999999</c:v>
                </c:pt>
                <c:pt idx="36">
                  <c:v>0.3636363635</c:v>
                </c:pt>
                <c:pt idx="37">
                  <c:v>0.3265044815</c:v>
                </c:pt>
                <c:pt idx="38">
                  <c:v>0.28617157500000001</c:v>
                </c:pt>
                <c:pt idx="39">
                  <c:v>0.24615877050000001</c:v>
                </c:pt>
                <c:pt idx="40">
                  <c:v>0.20998719599999999</c:v>
                </c:pt>
                <c:pt idx="41">
                  <c:v>0.16997439149999999</c:v>
                </c:pt>
                <c:pt idx="42">
                  <c:v>0.14308578750000001</c:v>
                </c:pt>
                <c:pt idx="43">
                  <c:v>0.1190781045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130-4E74-931D-D7843237669C}"/>
            </c:ext>
          </c:extLst>
        </c:ser>
        <c:ser>
          <c:idx val="12"/>
          <c:order val="9"/>
          <c:tx>
            <c:strRef>
              <c:f>'OCR 0'!$R$13</c:f>
              <c:strCache>
                <c:ptCount val="1"/>
                <c:pt idx="0">
                  <c:v>PI 45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0'!$R$14:$R$57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0.99743918050000002</c:v>
                </c:pt>
                <c:pt idx="15">
                  <c:v>0.99471830975000008</c:v>
                </c:pt>
                <c:pt idx="16">
                  <c:v>0.98879641475000002</c:v>
                </c:pt>
                <c:pt idx="17">
                  <c:v>0.9795134445</c:v>
                </c:pt>
                <c:pt idx="18">
                  <c:v>0.971190781</c:v>
                </c:pt>
                <c:pt idx="19">
                  <c:v>0.95854673450000005</c:v>
                </c:pt>
                <c:pt idx="20">
                  <c:v>0.94366197150000009</c:v>
                </c:pt>
                <c:pt idx="21">
                  <c:v>0.92605633774999996</c:v>
                </c:pt>
                <c:pt idx="22">
                  <c:v>0.90620998725000002</c:v>
                </c:pt>
                <c:pt idx="23">
                  <c:v>0.88380281699999996</c:v>
                </c:pt>
                <c:pt idx="24">
                  <c:v>0.85835467350000005</c:v>
                </c:pt>
                <c:pt idx="25">
                  <c:v>0.82698463499999997</c:v>
                </c:pt>
                <c:pt idx="26">
                  <c:v>0.79433418725000005</c:v>
                </c:pt>
                <c:pt idx="27">
                  <c:v>0.75944302149999998</c:v>
                </c:pt>
                <c:pt idx="28">
                  <c:v>0.72167093474999999</c:v>
                </c:pt>
                <c:pt idx="29">
                  <c:v>0.68389884725000005</c:v>
                </c:pt>
                <c:pt idx="30">
                  <c:v>0.64580665800000003</c:v>
                </c:pt>
                <c:pt idx="31">
                  <c:v>0.60515364950000006</c:v>
                </c:pt>
                <c:pt idx="32">
                  <c:v>0.56466069149999998</c:v>
                </c:pt>
                <c:pt idx="33">
                  <c:v>0.52096670924999999</c:v>
                </c:pt>
                <c:pt idx="34">
                  <c:v>0.4779129325</c:v>
                </c:pt>
                <c:pt idx="35">
                  <c:v>0.43629961549999996</c:v>
                </c:pt>
                <c:pt idx="36">
                  <c:v>0.39500640175000001</c:v>
                </c:pt>
                <c:pt idx="37">
                  <c:v>0.35595390525000004</c:v>
                </c:pt>
                <c:pt idx="38">
                  <c:v>0.31306017949999998</c:v>
                </c:pt>
                <c:pt idx="39">
                  <c:v>0.27032650425000004</c:v>
                </c:pt>
                <c:pt idx="40">
                  <c:v>0.23143405900000003</c:v>
                </c:pt>
                <c:pt idx="41">
                  <c:v>0.18709987175000001</c:v>
                </c:pt>
                <c:pt idx="42">
                  <c:v>0.15508962874999999</c:v>
                </c:pt>
                <c:pt idx="43">
                  <c:v>0.12740076775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130-4E74-931D-D7843237669C}"/>
            </c:ext>
          </c:extLst>
        </c:ser>
        <c:ser>
          <c:idx val="3"/>
          <c:order val="10"/>
          <c:tx>
            <c:strRef>
              <c:f>'OCR 0'!$H$13</c:f>
              <c:strCache>
                <c:ptCount val="1"/>
                <c:pt idx="0">
                  <c:v>PI 50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'OCR 0'!$H$14:$H$57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 formatCode="General">
                  <c:v>0.99935979500000005</c:v>
                </c:pt>
                <c:pt idx="16" formatCode="General">
                  <c:v>0.99487836100000004</c:v>
                </c:pt>
                <c:pt idx="17" formatCode="General">
                  <c:v>0.98655569799999998</c:v>
                </c:pt>
                <c:pt idx="18" formatCode="General">
                  <c:v>0.98015364900000002</c:v>
                </c:pt>
                <c:pt idx="19" formatCode="General">
                  <c:v>0.96927016600000004</c:v>
                </c:pt>
                <c:pt idx="20" formatCode="General">
                  <c:v>0.95582586400000003</c:v>
                </c:pt>
                <c:pt idx="21" formatCode="General">
                  <c:v>0.94174135699999995</c:v>
                </c:pt>
                <c:pt idx="22" formatCode="General">
                  <c:v>0.92445582599999998</c:v>
                </c:pt>
                <c:pt idx="23" formatCode="General">
                  <c:v>0.904609475</c:v>
                </c:pt>
                <c:pt idx="24" formatCode="General">
                  <c:v>0.88156210000000002</c:v>
                </c:pt>
                <c:pt idx="25" formatCode="General">
                  <c:v>0.85211267599999996</c:v>
                </c:pt>
                <c:pt idx="26" formatCode="General">
                  <c:v>0.82138284299999997</c:v>
                </c:pt>
                <c:pt idx="27" formatCode="General">
                  <c:v>0.78873239399999995</c:v>
                </c:pt>
                <c:pt idx="28" formatCode="General">
                  <c:v>0.75288092200000001</c:v>
                </c:pt>
                <c:pt idx="29" formatCode="General">
                  <c:v>0.71702944899999999</c:v>
                </c:pt>
                <c:pt idx="30" formatCode="General">
                  <c:v>0.68053777199999999</c:v>
                </c:pt>
                <c:pt idx="31" formatCode="General">
                  <c:v>0.64020486600000004</c:v>
                </c:pt>
                <c:pt idx="32" formatCode="General">
                  <c:v>0.60051216399999996</c:v>
                </c:pt>
                <c:pt idx="33" formatCode="General">
                  <c:v>0.55633802799999998</c:v>
                </c:pt>
                <c:pt idx="34" formatCode="General">
                  <c:v>0.51152368800000003</c:v>
                </c:pt>
                <c:pt idx="35" formatCode="General">
                  <c:v>0.46927016599999999</c:v>
                </c:pt>
                <c:pt idx="36" formatCode="General">
                  <c:v>0.42637644000000002</c:v>
                </c:pt>
                <c:pt idx="37" formatCode="General">
                  <c:v>0.38540332900000002</c:v>
                </c:pt>
                <c:pt idx="38" formatCode="General">
                  <c:v>0.339948784</c:v>
                </c:pt>
                <c:pt idx="39" formatCode="General">
                  <c:v>0.29449423800000002</c:v>
                </c:pt>
                <c:pt idx="40" formatCode="General">
                  <c:v>0.25288092200000001</c:v>
                </c:pt>
                <c:pt idx="41" formatCode="General">
                  <c:v>0.204225352</c:v>
                </c:pt>
                <c:pt idx="42" formatCode="General">
                  <c:v>0.16709346999999999</c:v>
                </c:pt>
                <c:pt idx="43" formatCode="General">
                  <c:v>0.13572343100000001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30-4E74-931D-D7843237669C}"/>
            </c:ext>
          </c:extLst>
        </c:ser>
        <c:ser>
          <c:idx val="13"/>
          <c:order val="11"/>
          <c:tx>
            <c:strRef>
              <c:f>'OCR 0'!$S$13</c:f>
              <c:strCache>
                <c:ptCount val="1"/>
                <c:pt idx="0">
                  <c:v>PI 60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0'!$S$14:$S$57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0.99948783600000002</c:v>
                </c:pt>
                <c:pt idx="16">
                  <c:v>0.99590268879999999</c:v>
                </c:pt>
                <c:pt idx="17">
                  <c:v>0.98924455840000003</c:v>
                </c:pt>
                <c:pt idx="18">
                  <c:v>0.98399487819999998</c:v>
                </c:pt>
                <c:pt idx="19">
                  <c:v>0.97413572300000006</c:v>
                </c:pt>
                <c:pt idx="20">
                  <c:v>0.96197183080000004</c:v>
                </c:pt>
                <c:pt idx="21">
                  <c:v>0.94903969259999998</c:v>
                </c:pt>
                <c:pt idx="22">
                  <c:v>0.93329065319999993</c:v>
                </c:pt>
                <c:pt idx="23">
                  <c:v>0.91536491679999998</c:v>
                </c:pt>
                <c:pt idx="24">
                  <c:v>0.89449423819999996</c:v>
                </c:pt>
                <c:pt idx="25">
                  <c:v>0.86837387960000001</c:v>
                </c:pt>
                <c:pt idx="26">
                  <c:v>0.84033290699999996</c:v>
                </c:pt>
                <c:pt idx="27">
                  <c:v>0.81049935959999997</c:v>
                </c:pt>
                <c:pt idx="28">
                  <c:v>0.7775928298</c:v>
                </c:pt>
                <c:pt idx="29">
                  <c:v>0.74379001239999998</c:v>
                </c:pt>
                <c:pt idx="30">
                  <c:v>0.708834827</c:v>
                </c:pt>
                <c:pt idx="31">
                  <c:v>0.67016645360000004</c:v>
                </c:pt>
                <c:pt idx="32">
                  <c:v>0.63098591559999995</c:v>
                </c:pt>
                <c:pt idx="33">
                  <c:v>0.58758002539999998</c:v>
                </c:pt>
                <c:pt idx="34">
                  <c:v>0.54302176740000008</c:v>
                </c:pt>
                <c:pt idx="35">
                  <c:v>0.50051216359999995</c:v>
                </c:pt>
                <c:pt idx="36">
                  <c:v>0.45723431460000002</c:v>
                </c:pt>
                <c:pt idx="37">
                  <c:v>0.4148527528</c:v>
                </c:pt>
                <c:pt idx="38">
                  <c:v>0.36824583900000002</c:v>
                </c:pt>
                <c:pt idx="39">
                  <c:v>0.32099871940000002</c:v>
                </c:pt>
                <c:pt idx="40">
                  <c:v>0.27669654300000002</c:v>
                </c:pt>
                <c:pt idx="41">
                  <c:v>0.22535211259999999</c:v>
                </c:pt>
                <c:pt idx="42">
                  <c:v>0.18617157500000001</c:v>
                </c:pt>
                <c:pt idx="43">
                  <c:v>0.1527528806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130-4E74-931D-D7843237669C}"/>
            </c:ext>
          </c:extLst>
        </c:ser>
        <c:ser>
          <c:idx val="14"/>
          <c:order val="12"/>
          <c:tx>
            <c:strRef>
              <c:f>'OCR 0'!$T$13</c:f>
              <c:strCache>
                <c:ptCount val="1"/>
                <c:pt idx="0">
                  <c:v>PI 70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0'!$T$14:$T$57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0.99692701660000005</c:v>
                </c:pt>
                <c:pt idx="17">
                  <c:v>0.99193341879999997</c:v>
                </c:pt>
                <c:pt idx="18">
                  <c:v>0.98783610740000005</c:v>
                </c:pt>
                <c:pt idx="19">
                  <c:v>0.97900128000000008</c:v>
                </c:pt>
                <c:pt idx="20">
                  <c:v>0.96811779760000005</c:v>
                </c:pt>
                <c:pt idx="21">
                  <c:v>0.95633802820000002</c:v>
                </c:pt>
                <c:pt idx="22">
                  <c:v>0.94212548039999999</c:v>
                </c:pt>
                <c:pt idx="23">
                  <c:v>0.92612035859999997</c:v>
                </c:pt>
                <c:pt idx="24">
                  <c:v>0.90742637640000001</c:v>
                </c:pt>
                <c:pt idx="25">
                  <c:v>0.88463508319999995</c:v>
                </c:pt>
                <c:pt idx="26">
                  <c:v>0.85928297099999995</c:v>
                </c:pt>
                <c:pt idx="27">
                  <c:v>0.83226632519999999</c:v>
                </c:pt>
                <c:pt idx="28">
                  <c:v>0.80230473759999998</c:v>
                </c:pt>
                <c:pt idx="29">
                  <c:v>0.77055057579999997</c:v>
                </c:pt>
                <c:pt idx="30">
                  <c:v>0.73713188200000002</c:v>
                </c:pt>
                <c:pt idx="31">
                  <c:v>0.70012804120000005</c:v>
                </c:pt>
                <c:pt idx="32">
                  <c:v>0.66145966719999993</c:v>
                </c:pt>
                <c:pt idx="33">
                  <c:v>0.61882202279999998</c:v>
                </c:pt>
                <c:pt idx="34">
                  <c:v>0.57451984680000001</c:v>
                </c:pt>
                <c:pt idx="35">
                  <c:v>0.53175416119999996</c:v>
                </c:pt>
                <c:pt idx="36">
                  <c:v>0.48809218919999997</c:v>
                </c:pt>
                <c:pt idx="37">
                  <c:v>0.44430217660000004</c:v>
                </c:pt>
                <c:pt idx="38">
                  <c:v>0.39654289399999998</c:v>
                </c:pt>
                <c:pt idx="39">
                  <c:v>0.34750320080000002</c:v>
                </c:pt>
                <c:pt idx="40">
                  <c:v>0.30051216400000003</c:v>
                </c:pt>
                <c:pt idx="41">
                  <c:v>0.2464788732</c:v>
                </c:pt>
                <c:pt idx="42">
                  <c:v>0.20524967999999999</c:v>
                </c:pt>
                <c:pt idx="43">
                  <c:v>0.1697823302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130-4E74-931D-D7843237669C}"/>
            </c:ext>
          </c:extLst>
        </c:ser>
        <c:ser>
          <c:idx val="15"/>
          <c:order val="13"/>
          <c:tx>
            <c:strRef>
              <c:f>'OCR 0'!$U$13</c:f>
              <c:strCache>
                <c:ptCount val="1"/>
                <c:pt idx="0">
                  <c:v>PI 80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0'!$U$14:$U$57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0.99462227920000001</c:v>
                </c:pt>
                <c:pt idx="18">
                  <c:v>0.99167733660000001</c:v>
                </c:pt>
                <c:pt idx="19">
                  <c:v>0.98386683699999999</c:v>
                </c:pt>
                <c:pt idx="20">
                  <c:v>0.97426376439999995</c:v>
                </c:pt>
                <c:pt idx="21">
                  <c:v>0.96363636379999995</c:v>
                </c:pt>
                <c:pt idx="22">
                  <c:v>0.95096030759999994</c:v>
                </c:pt>
                <c:pt idx="23">
                  <c:v>0.93687580040000007</c:v>
                </c:pt>
                <c:pt idx="24">
                  <c:v>0.92035851459999996</c:v>
                </c:pt>
                <c:pt idx="25">
                  <c:v>0.9008962868</c:v>
                </c:pt>
                <c:pt idx="26">
                  <c:v>0.87823303500000005</c:v>
                </c:pt>
                <c:pt idx="27">
                  <c:v>0.85403329080000001</c:v>
                </c:pt>
                <c:pt idx="28">
                  <c:v>0.82701664539999997</c:v>
                </c:pt>
                <c:pt idx="29">
                  <c:v>0.79731113919999996</c:v>
                </c:pt>
                <c:pt idx="30">
                  <c:v>0.76542893699999992</c:v>
                </c:pt>
                <c:pt idx="31">
                  <c:v>0.73008962879999995</c:v>
                </c:pt>
                <c:pt idx="32">
                  <c:v>0.69193341879999992</c:v>
                </c:pt>
                <c:pt idx="33">
                  <c:v>0.65006402019999998</c:v>
                </c:pt>
                <c:pt idx="34">
                  <c:v>0.60601792620000006</c:v>
                </c:pt>
                <c:pt idx="35">
                  <c:v>0.56299615879999998</c:v>
                </c:pt>
                <c:pt idx="36">
                  <c:v>0.51895006379999997</c:v>
                </c:pt>
                <c:pt idx="37">
                  <c:v>0.47375160040000003</c:v>
                </c:pt>
                <c:pt idx="38">
                  <c:v>0.42483994899999999</c:v>
                </c:pt>
                <c:pt idx="39">
                  <c:v>0.37400768220000002</c:v>
                </c:pt>
                <c:pt idx="40">
                  <c:v>0.32432778499999998</c:v>
                </c:pt>
                <c:pt idx="41">
                  <c:v>0.26760563380000002</c:v>
                </c:pt>
                <c:pt idx="42">
                  <c:v>0.224327785</c:v>
                </c:pt>
                <c:pt idx="43">
                  <c:v>0.18681177979999999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130-4E74-931D-D7843237669C}"/>
            </c:ext>
          </c:extLst>
        </c:ser>
        <c:ser>
          <c:idx val="16"/>
          <c:order val="14"/>
          <c:tx>
            <c:strRef>
              <c:f>'OCR 0'!$V$13</c:f>
              <c:strCache>
                <c:ptCount val="1"/>
                <c:pt idx="0">
                  <c:v>PI 90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0'!$V$14:$V$57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0.99731113959999995</c:v>
                </c:pt>
                <c:pt idx="18">
                  <c:v>0.99551856580000009</c:v>
                </c:pt>
                <c:pt idx="19">
                  <c:v>0.98873239400000001</c:v>
                </c:pt>
                <c:pt idx="20">
                  <c:v>0.98040973119999997</c:v>
                </c:pt>
                <c:pt idx="21">
                  <c:v>0.97093469939999999</c:v>
                </c:pt>
                <c:pt idx="22">
                  <c:v>0.9597951348</c:v>
                </c:pt>
                <c:pt idx="23">
                  <c:v>0.94763124220000006</c:v>
                </c:pt>
                <c:pt idx="24">
                  <c:v>0.93329065280000001</c:v>
                </c:pt>
                <c:pt idx="25">
                  <c:v>0.91715749039999994</c:v>
                </c:pt>
                <c:pt idx="26">
                  <c:v>0.89718309900000004</c:v>
                </c:pt>
                <c:pt idx="27">
                  <c:v>0.87580025640000003</c:v>
                </c:pt>
                <c:pt idx="28">
                  <c:v>0.85172855319999996</c:v>
                </c:pt>
                <c:pt idx="29">
                  <c:v>0.82407170259999996</c:v>
                </c:pt>
                <c:pt idx="30">
                  <c:v>0.79372599199999994</c:v>
                </c:pt>
                <c:pt idx="31">
                  <c:v>0.76005121639999995</c:v>
                </c:pt>
                <c:pt idx="32">
                  <c:v>0.72240717040000002</c:v>
                </c:pt>
                <c:pt idx="33">
                  <c:v>0.68130601759999998</c:v>
                </c:pt>
                <c:pt idx="34">
                  <c:v>0.63751600559999999</c:v>
                </c:pt>
                <c:pt idx="35">
                  <c:v>0.59423815639999999</c:v>
                </c:pt>
                <c:pt idx="36">
                  <c:v>0.54980793839999997</c:v>
                </c:pt>
                <c:pt idx="37">
                  <c:v>0.50320102420000001</c:v>
                </c:pt>
                <c:pt idx="38">
                  <c:v>0.45313700400000001</c:v>
                </c:pt>
                <c:pt idx="39">
                  <c:v>0.40051216359999997</c:v>
                </c:pt>
                <c:pt idx="40">
                  <c:v>0.34814340599999999</c:v>
                </c:pt>
                <c:pt idx="41">
                  <c:v>0.28873239439999998</c:v>
                </c:pt>
                <c:pt idx="42">
                  <c:v>0.24340589000000001</c:v>
                </c:pt>
                <c:pt idx="43">
                  <c:v>0.20384122939999999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130-4E74-931D-D7843237669C}"/>
            </c:ext>
          </c:extLst>
        </c:ser>
        <c:ser>
          <c:idx val="4"/>
          <c:order val="15"/>
          <c:tx>
            <c:strRef>
              <c:f>'OCR 0'!$I$13</c:f>
              <c:strCache>
                <c:ptCount val="1"/>
                <c:pt idx="0">
                  <c:v>PI 100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'OCR 0'!$I$14:$I$57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 formatCode="General">
                  <c:v>0.99935979500000005</c:v>
                </c:pt>
                <c:pt idx="19" formatCode="General">
                  <c:v>0.99359795100000003</c:v>
                </c:pt>
                <c:pt idx="20" formatCode="General">
                  <c:v>0.98655569799999998</c:v>
                </c:pt>
                <c:pt idx="21" formatCode="General">
                  <c:v>0.97823303500000003</c:v>
                </c:pt>
                <c:pt idx="22" formatCode="General">
                  <c:v>0.96862996199999996</c:v>
                </c:pt>
                <c:pt idx="23" formatCode="General">
                  <c:v>0.95838668400000004</c:v>
                </c:pt>
                <c:pt idx="24" formatCode="General">
                  <c:v>0.94622279099999995</c:v>
                </c:pt>
                <c:pt idx="25" formatCode="General">
                  <c:v>0.93341869399999999</c:v>
                </c:pt>
                <c:pt idx="26" formatCode="General">
                  <c:v>0.91613316300000003</c:v>
                </c:pt>
                <c:pt idx="27" formatCode="General">
                  <c:v>0.89756722200000005</c:v>
                </c:pt>
                <c:pt idx="28" formatCode="General">
                  <c:v>0.87644046099999995</c:v>
                </c:pt>
                <c:pt idx="29" formatCode="General">
                  <c:v>0.85083226599999995</c:v>
                </c:pt>
                <c:pt idx="30" formatCode="General">
                  <c:v>0.82202304699999995</c:v>
                </c:pt>
                <c:pt idx="31" formatCode="General">
                  <c:v>0.79001280399999996</c:v>
                </c:pt>
                <c:pt idx="32" formatCode="General">
                  <c:v>0.75288092200000001</c:v>
                </c:pt>
                <c:pt idx="33" formatCode="General">
                  <c:v>0.71254801499999998</c:v>
                </c:pt>
                <c:pt idx="34" formatCode="General">
                  <c:v>0.66901408500000004</c:v>
                </c:pt>
                <c:pt idx="35" formatCode="General">
                  <c:v>0.62548015400000001</c:v>
                </c:pt>
                <c:pt idx="36" formatCode="General">
                  <c:v>0.58066581299999998</c:v>
                </c:pt>
                <c:pt idx="37" formatCode="General">
                  <c:v>0.53265044800000005</c:v>
                </c:pt>
                <c:pt idx="38" formatCode="General">
                  <c:v>0.48143405900000003</c:v>
                </c:pt>
                <c:pt idx="39" formatCode="General">
                  <c:v>0.42701664499999997</c:v>
                </c:pt>
                <c:pt idx="40" formatCode="General">
                  <c:v>0.371959027</c:v>
                </c:pt>
                <c:pt idx="41" formatCode="General">
                  <c:v>0.309859155</c:v>
                </c:pt>
                <c:pt idx="42" formatCode="General">
                  <c:v>0.26248399500000003</c:v>
                </c:pt>
                <c:pt idx="43" formatCode="General">
                  <c:v>0.22087067899999999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30-4E74-931D-D7843237669C}"/>
            </c:ext>
          </c:extLst>
        </c:ser>
        <c:ser>
          <c:idx val="17"/>
          <c:order val="16"/>
          <c:tx>
            <c:strRef>
              <c:f>'OCR 0'!$W$13</c:f>
              <c:strCache>
                <c:ptCount val="1"/>
                <c:pt idx="0">
                  <c:v>PI 110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0'!$W$14:$W$57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0.99942381550000003</c:v>
                </c:pt>
                <c:pt idx="19">
                  <c:v>0.99423815589999998</c:v>
                </c:pt>
                <c:pt idx="20">
                  <c:v>0.9877080667</c:v>
                </c:pt>
                <c:pt idx="21">
                  <c:v>0.98002560859999999</c:v>
                </c:pt>
                <c:pt idx="22">
                  <c:v>0.97099871999999998</c:v>
                </c:pt>
                <c:pt idx="23">
                  <c:v>0.96126760590000004</c:v>
                </c:pt>
                <c:pt idx="24">
                  <c:v>0.94967989729999991</c:v>
                </c:pt>
                <c:pt idx="25">
                  <c:v>0.93719590269999997</c:v>
                </c:pt>
                <c:pt idx="26">
                  <c:v>0.92061459700000003</c:v>
                </c:pt>
                <c:pt idx="27">
                  <c:v>0.90281690180000007</c:v>
                </c:pt>
                <c:pt idx="28">
                  <c:v>0.8823943662</c:v>
                </c:pt>
                <c:pt idx="29">
                  <c:v>0.85768245809999999</c:v>
                </c:pt>
                <c:pt idx="30">
                  <c:v>0.82983354639999996</c:v>
                </c:pt>
                <c:pt idx="31">
                  <c:v>0.79878361069999992</c:v>
                </c:pt>
                <c:pt idx="32">
                  <c:v>0.76293213839999996</c:v>
                </c:pt>
                <c:pt idx="33">
                  <c:v>0.72349551820000002</c:v>
                </c:pt>
                <c:pt idx="34">
                  <c:v>0.68085787500000006</c:v>
                </c:pt>
                <c:pt idx="35">
                  <c:v>0.63758002589999996</c:v>
                </c:pt>
                <c:pt idx="36">
                  <c:v>0.59282970550000003</c:v>
                </c:pt>
                <c:pt idx="37">
                  <c:v>0.54487836090000008</c:v>
                </c:pt>
                <c:pt idx="38">
                  <c:v>0.49334186950000003</c:v>
                </c:pt>
                <c:pt idx="39">
                  <c:v>0.43783610729999994</c:v>
                </c:pt>
                <c:pt idx="40">
                  <c:v>0.38226632529999999</c:v>
                </c:pt>
                <c:pt idx="41">
                  <c:v>0.31920614599999997</c:v>
                </c:pt>
                <c:pt idx="42">
                  <c:v>0.27087067870000003</c:v>
                </c:pt>
                <c:pt idx="43">
                  <c:v>0.22752880959999999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130-4E74-931D-D7843237669C}"/>
            </c:ext>
          </c:extLst>
        </c:ser>
        <c:ser>
          <c:idx val="18"/>
          <c:order val="17"/>
          <c:tx>
            <c:strRef>
              <c:f>'OCR 0'!$X$13</c:f>
              <c:strCache>
                <c:ptCount val="1"/>
                <c:pt idx="0">
                  <c:v>PI 120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0'!$X$14:$X$57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0.99948783600000002</c:v>
                </c:pt>
                <c:pt idx="19">
                  <c:v>0.99487836080000003</c:v>
                </c:pt>
                <c:pt idx="20">
                  <c:v>0.98886043540000002</c:v>
                </c:pt>
                <c:pt idx="21">
                  <c:v>0.98181818220000006</c:v>
                </c:pt>
                <c:pt idx="22">
                  <c:v>0.97336747800000001</c:v>
                </c:pt>
                <c:pt idx="23">
                  <c:v>0.96414852780000004</c:v>
                </c:pt>
                <c:pt idx="24">
                  <c:v>0.95313700359999998</c:v>
                </c:pt>
                <c:pt idx="25">
                  <c:v>0.94097311139999995</c:v>
                </c:pt>
                <c:pt idx="26">
                  <c:v>0.92509603100000004</c:v>
                </c:pt>
                <c:pt idx="27">
                  <c:v>0.90806658160000009</c:v>
                </c:pt>
                <c:pt idx="28">
                  <c:v>0.88834827139999994</c:v>
                </c:pt>
                <c:pt idx="29">
                  <c:v>0.86453265019999992</c:v>
                </c:pt>
                <c:pt idx="30">
                  <c:v>0.83764404579999996</c:v>
                </c:pt>
                <c:pt idx="31">
                  <c:v>0.8075544174</c:v>
                </c:pt>
                <c:pt idx="32">
                  <c:v>0.77298335480000002</c:v>
                </c:pt>
                <c:pt idx="33">
                  <c:v>0.73444302139999995</c:v>
                </c:pt>
                <c:pt idx="34">
                  <c:v>0.69270166500000008</c:v>
                </c:pt>
                <c:pt idx="35">
                  <c:v>0.64967989780000002</c:v>
                </c:pt>
                <c:pt idx="36">
                  <c:v>0.60499359799999997</c:v>
                </c:pt>
                <c:pt idx="37">
                  <c:v>0.5571062738</c:v>
                </c:pt>
                <c:pt idx="38">
                  <c:v>0.50524968000000003</c:v>
                </c:pt>
                <c:pt idx="39">
                  <c:v>0.44865556959999997</c:v>
                </c:pt>
                <c:pt idx="40">
                  <c:v>0.39257362359999998</c:v>
                </c:pt>
                <c:pt idx="41">
                  <c:v>0.328553137</c:v>
                </c:pt>
                <c:pt idx="42">
                  <c:v>0.27925736240000004</c:v>
                </c:pt>
                <c:pt idx="43">
                  <c:v>0.2341869402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130-4E74-931D-D7843237669C}"/>
            </c:ext>
          </c:extLst>
        </c:ser>
        <c:ser>
          <c:idx val="19"/>
          <c:order val="18"/>
          <c:tx>
            <c:strRef>
              <c:f>'OCR 0'!$Y$13</c:f>
              <c:strCache>
                <c:ptCount val="1"/>
                <c:pt idx="0">
                  <c:v>PI 130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0'!$Y$14:$Y$57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0.99551856570000008</c:v>
                </c:pt>
                <c:pt idx="20">
                  <c:v>0.99001280410000003</c:v>
                </c:pt>
                <c:pt idx="21">
                  <c:v>0.98361075580000001</c:v>
                </c:pt>
                <c:pt idx="22">
                  <c:v>0.97573623599999992</c:v>
                </c:pt>
                <c:pt idx="23">
                  <c:v>0.96702944970000004</c:v>
                </c:pt>
                <c:pt idx="24">
                  <c:v>0.95659410989999993</c:v>
                </c:pt>
                <c:pt idx="25">
                  <c:v>0.94475032010000004</c:v>
                </c:pt>
                <c:pt idx="26">
                  <c:v>0.92957746500000005</c:v>
                </c:pt>
                <c:pt idx="27">
                  <c:v>0.9133162614</c:v>
                </c:pt>
                <c:pt idx="28">
                  <c:v>0.8943021766</c:v>
                </c:pt>
                <c:pt idx="29">
                  <c:v>0.87138284229999996</c:v>
                </c:pt>
                <c:pt idx="30">
                  <c:v>0.84545454519999996</c:v>
                </c:pt>
                <c:pt idx="31">
                  <c:v>0.81632522409999997</c:v>
                </c:pt>
                <c:pt idx="32">
                  <c:v>0.78303457119999997</c:v>
                </c:pt>
                <c:pt idx="33">
                  <c:v>0.74539052459999999</c:v>
                </c:pt>
                <c:pt idx="34">
                  <c:v>0.70454545499999999</c:v>
                </c:pt>
                <c:pt idx="35">
                  <c:v>0.66177976970000008</c:v>
                </c:pt>
                <c:pt idx="36">
                  <c:v>0.61715749050000002</c:v>
                </c:pt>
                <c:pt idx="37">
                  <c:v>0.56933418670000002</c:v>
                </c:pt>
                <c:pt idx="38">
                  <c:v>0.51715749050000004</c:v>
                </c:pt>
                <c:pt idx="39">
                  <c:v>0.45947503189999994</c:v>
                </c:pt>
                <c:pt idx="40">
                  <c:v>0.40288092190000002</c:v>
                </c:pt>
                <c:pt idx="41">
                  <c:v>0.33790012800000002</c:v>
                </c:pt>
                <c:pt idx="42">
                  <c:v>0.28764404609999999</c:v>
                </c:pt>
                <c:pt idx="43">
                  <c:v>0.24084507080000001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130-4E74-931D-D7843237669C}"/>
            </c:ext>
          </c:extLst>
        </c:ser>
        <c:ser>
          <c:idx val="20"/>
          <c:order val="19"/>
          <c:tx>
            <c:strRef>
              <c:f>'OCR 0'!$Z$13</c:f>
              <c:strCache>
                <c:ptCount val="1"/>
                <c:pt idx="0">
                  <c:v>PI 140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0'!$Z$14:$Z$57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0.99615877060000002</c:v>
                </c:pt>
                <c:pt idx="20">
                  <c:v>0.99116517280000005</c:v>
                </c:pt>
                <c:pt idx="21">
                  <c:v>0.98540332940000008</c:v>
                </c:pt>
                <c:pt idx="22">
                  <c:v>0.97810499399999995</c:v>
                </c:pt>
                <c:pt idx="23">
                  <c:v>0.96991037160000004</c:v>
                </c:pt>
                <c:pt idx="24">
                  <c:v>0.9600512162</c:v>
                </c:pt>
                <c:pt idx="25">
                  <c:v>0.94852752880000002</c:v>
                </c:pt>
                <c:pt idx="26">
                  <c:v>0.93405889900000005</c:v>
                </c:pt>
                <c:pt idx="27">
                  <c:v>0.91856594120000001</c:v>
                </c:pt>
                <c:pt idx="28">
                  <c:v>0.90025608179999994</c:v>
                </c:pt>
                <c:pt idx="29">
                  <c:v>0.8782330344</c:v>
                </c:pt>
                <c:pt idx="30">
                  <c:v>0.85326504459999997</c:v>
                </c:pt>
                <c:pt idx="31">
                  <c:v>0.82509603079999994</c:v>
                </c:pt>
                <c:pt idx="32">
                  <c:v>0.79308578760000004</c:v>
                </c:pt>
                <c:pt idx="33">
                  <c:v>0.75633802779999992</c:v>
                </c:pt>
                <c:pt idx="34">
                  <c:v>0.71638924500000001</c:v>
                </c:pt>
                <c:pt idx="35">
                  <c:v>0.67387964160000002</c:v>
                </c:pt>
                <c:pt idx="36">
                  <c:v>0.62932138299999996</c:v>
                </c:pt>
                <c:pt idx="37">
                  <c:v>0.58156209960000005</c:v>
                </c:pt>
                <c:pt idx="38">
                  <c:v>0.52906530100000004</c:v>
                </c:pt>
                <c:pt idx="39">
                  <c:v>0.47029449419999997</c:v>
                </c:pt>
                <c:pt idx="40">
                  <c:v>0.41318822020000001</c:v>
                </c:pt>
                <c:pt idx="41">
                  <c:v>0.34724711899999999</c:v>
                </c:pt>
                <c:pt idx="42">
                  <c:v>0.2960307298</c:v>
                </c:pt>
                <c:pt idx="43">
                  <c:v>0.24750320139999998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130-4E74-931D-D7843237669C}"/>
            </c:ext>
          </c:extLst>
        </c:ser>
        <c:ser>
          <c:idx val="21"/>
          <c:order val="20"/>
          <c:tx>
            <c:strRef>
              <c:f>'OCR 0'!$AA$13</c:f>
              <c:strCache>
                <c:ptCount val="1"/>
                <c:pt idx="0">
                  <c:v>PI 150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0'!$AA$14:$AA$57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0.99679897549999996</c:v>
                </c:pt>
                <c:pt idx="20">
                  <c:v>0.99231754150000007</c:v>
                </c:pt>
                <c:pt idx="21">
                  <c:v>0.98719590300000004</c:v>
                </c:pt>
                <c:pt idx="22">
                  <c:v>0.98047375199999998</c:v>
                </c:pt>
                <c:pt idx="23">
                  <c:v>0.97279129350000004</c:v>
                </c:pt>
                <c:pt idx="24">
                  <c:v>0.96350832249999996</c:v>
                </c:pt>
                <c:pt idx="25">
                  <c:v>0.9523047375</c:v>
                </c:pt>
                <c:pt idx="26">
                  <c:v>0.93854033299999995</c:v>
                </c:pt>
                <c:pt idx="27">
                  <c:v>0.92381562100000003</c:v>
                </c:pt>
                <c:pt idx="28">
                  <c:v>0.90620998699999999</c:v>
                </c:pt>
                <c:pt idx="29">
                  <c:v>0.88508322649999993</c:v>
                </c:pt>
                <c:pt idx="30">
                  <c:v>0.86107554399999997</c:v>
                </c:pt>
                <c:pt idx="31">
                  <c:v>0.83386683750000001</c:v>
                </c:pt>
                <c:pt idx="32">
                  <c:v>0.80313700399999999</c:v>
                </c:pt>
                <c:pt idx="33">
                  <c:v>0.76728553099999997</c:v>
                </c:pt>
                <c:pt idx="34">
                  <c:v>0.72823303500000003</c:v>
                </c:pt>
                <c:pt idx="35">
                  <c:v>0.68597951349999997</c:v>
                </c:pt>
                <c:pt idx="36">
                  <c:v>0.64148527550000001</c:v>
                </c:pt>
                <c:pt idx="37">
                  <c:v>0.59379001249999996</c:v>
                </c:pt>
                <c:pt idx="38">
                  <c:v>0.54097311150000005</c:v>
                </c:pt>
                <c:pt idx="39">
                  <c:v>0.4811139565</c:v>
                </c:pt>
                <c:pt idx="40">
                  <c:v>0.4234955185</c:v>
                </c:pt>
                <c:pt idx="41">
                  <c:v>0.35659410999999996</c:v>
                </c:pt>
                <c:pt idx="42">
                  <c:v>0.30441741350000001</c:v>
                </c:pt>
                <c:pt idx="43">
                  <c:v>0.25416133200000002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130-4E74-931D-D7843237669C}"/>
            </c:ext>
          </c:extLst>
        </c:ser>
        <c:ser>
          <c:idx val="22"/>
          <c:order val="21"/>
          <c:tx>
            <c:strRef>
              <c:f>'OCR 0'!$AB$13</c:f>
              <c:strCache>
                <c:ptCount val="1"/>
                <c:pt idx="0">
                  <c:v>PI 160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0'!$AB$14:$AB$57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0.99743918040000001</c:v>
                </c:pt>
                <c:pt idx="20">
                  <c:v>0.99346991019999997</c:v>
                </c:pt>
                <c:pt idx="21">
                  <c:v>0.9889884766</c:v>
                </c:pt>
                <c:pt idx="22">
                  <c:v>0.98284251</c:v>
                </c:pt>
                <c:pt idx="23">
                  <c:v>0.97567221540000004</c:v>
                </c:pt>
                <c:pt idx="24">
                  <c:v>0.96696542879999992</c:v>
                </c:pt>
                <c:pt idx="25">
                  <c:v>0.95608194619999998</c:v>
                </c:pt>
                <c:pt idx="26">
                  <c:v>0.94302176699999996</c:v>
                </c:pt>
                <c:pt idx="27">
                  <c:v>0.92906530080000005</c:v>
                </c:pt>
                <c:pt idx="28">
                  <c:v>0.91216389220000005</c:v>
                </c:pt>
                <c:pt idx="29">
                  <c:v>0.89193341859999997</c:v>
                </c:pt>
                <c:pt idx="30">
                  <c:v>0.86888604339999997</c:v>
                </c:pt>
                <c:pt idx="31">
                  <c:v>0.84263764419999998</c:v>
                </c:pt>
                <c:pt idx="32">
                  <c:v>0.81318822039999994</c:v>
                </c:pt>
                <c:pt idx="33">
                  <c:v>0.77823303420000001</c:v>
                </c:pt>
                <c:pt idx="34">
                  <c:v>0.74007682500000005</c:v>
                </c:pt>
                <c:pt idx="35">
                  <c:v>0.69807938540000003</c:v>
                </c:pt>
                <c:pt idx="36">
                  <c:v>0.65364916800000006</c:v>
                </c:pt>
                <c:pt idx="37">
                  <c:v>0.60601792539999999</c:v>
                </c:pt>
                <c:pt idx="38">
                  <c:v>0.55288092199999994</c:v>
                </c:pt>
                <c:pt idx="39">
                  <c:v>0.49193341879999997</c:v>
                </c:pt>
                <c:pt idx="40">
                  <c:v>0.43380281679999999</c:v>
                </c:pt>
                <c:pt idx="41">
                  <c:v>0.36594110099999999</c:v>
                </c:pt>
                <c:pt idx="42">
                  <c:v>0.31280409720000002</c:v>
                </c:pt>
                <c:pt idx="43">
                  <c:v>0.2608194626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130-4E74-931D-D7843237669C}"/>
            </c:ext>
          </c:extLst>
        </c:ser>
        <c:ser>
          <c:idx val="23"/>
          <c:order val="22"/>
          <c:tx>
            <c:strRef>
              <c:f>'OCR 0'!$AC$13</c:f>
              <c:strCache>
                <c:ptCount val="1"/>
                <c:pt idx="0">
                  <c:v>PI 170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0'!$AC$14:$AC$57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0.99462227889999999</c:v>
                </c:pt>
                <c:pt idx="21">
                  <c:v>0.99078105020000007</c:v>
                </c:pt>
                <c:pt idx="22">
                  <c:v>0.98521126800000003</c:v>
                </c:pt>
                <c:pt idx="23">
                  <c:v>0.97855313730000004</c:v>
                </c:pt>
                <c:pt idx="24">
                  <c:v>0.97042253509999998</c:v>
                </c:pt>
                <c:pt idx="25">
                  <c:v>0.95985915489999996</c:v>
                </c:pt>
                <c:pt idx="26">
                  <c:v>0.94750320099999996</c:v>
                </c:pt>
                <c:pt idx="27">
                  <c:v>0.93431498060000007</c:v>
                </c:pt>
                <c:pt idx="28">
                  <c:v>0.91811779739999999</c:v>
                </c:pt>
                <c:pt idx="29">
                  <c:v>0.89878361070000001</c:v>
                </c:pt>
                <c:pt idx="30">
                  <c:v>0.87669654279999998</c:v>
                </c:pt>
                <c:pt idx="31">
                  <c:v>0.85140845089999995</c:v>
                </c:pt>
                <c:pt idx="32">
                  <c:v>0.8232394368</c:v>
                </c:pt>
                <c:pt idx="33">
                  <c:v>0.78918053739999994</c:v>
                </c:pt>
                <c:pt idx="34">
                  <c:v>0.75192061500000007</c:v>
                </c:pt>
                <c:pt idx="35">
                  <c:v>0.71017925730000009</c:v>
                </c:pt>
                <c:pt idx="36">
                  <c:v>0.6658130605</c:v>
                </c:pt>
                <c:pt idx="37">
                  <c:v>0.61824583830000002</c:v>
                </c:pt>
                <c:pt idx="38">
                  <c:v>0.56478873249999995</c:v>
                </c:pt>
                <c:pt idx="39">
                  <c:v>0.50275288109999994</c:v>
                </c:pt>
                <c:pt idx="40">
                  <c:v>0.44411011509999998</c:v>
                </c:pt>
                <c:pt idx="41">
                  <c:v>0.37528809200000002</c:v>
                </c:pt>
                <c:pt idx="42">
                  <c:v>0.32119078090000003</c:v>
                </c:pt>
                <c:pt idx="43">
                  <c:v>0.26747759320000003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130-4E74-931D-D7843237669C}"/>
            </c:ext>
          </c:extLst>
        </c:ser>
        <c:ser>
          <c:idx val="24"/>
          <c:order val="23"/>
          <c:tx>
            <c:strRef>
              <c:f>'OCR 0'!$AD$13</c:f>
              <c:strCache>
                <c:ptCount val="1"/>
                <c:pt idx="0">
                  <c:v>PI 180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0'!$AD$14:$AD$57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0.99577464760000001</c:v>
                </c:pt>
                <c:pt idx="21">
                  <c:v>0.99257362380000003</c:v>
                </c:pt>
                <c:pt idx="22">
                  <c:v>0.98758002599999994</c:v>
                </c:pt>
                <c:pt idx="23">
                  <c:v>0.98143405920000004</c:v>
                </c:pt>
                <c:pt idx="24">
                  <c:v>0.97387964139999994</c:v>
                </c:pt>
                <c:pt idx="25">
                  <c:v>0.96363636360000005</c:v>
                </c:pt>
                <c:pt idx="26">
                  <c:v>0.95198463499999997</c:v>
                </c:pt>
                <c:pt idx="27">
                  <c:v>0.93956466039999997</c:v>
                </c:pt>
                <c:pt idx="28">
                  <c:v>0.92407170260000004</c:v>
                </c:pt>
                <c:pt idx="29">
                  <c:v>0.90563380280000005</c:v>
                </c:pt>
                <c:pt idx="30">
                  <c:v>0.88450704219999998</c:v>
                </c:pt>
                <c:pt idx="31">
                  <c:v>0.86017925759999991</c:v>
                </c:pt>
                <c:pt idx="32">
                  <c:v>0.83329065319999995</c:v>
                </c:pt>
                <c:pt idx="33">
                  <c:v>0.80012804059999998</c:v>
                </c:pt>
                <c:pt idx="34">
                  <c:v>0.76376440499999998</c:v>
                </c:pt>
                <c:pt idx="35">
                  <c:v>0.72227912920000004</c:v>
                </c:pt>
                <c:pt idx="36">
                  <c:v>0.67797695300000005</c:v>
                </c:pt>
                <c:pt idx="37">
                  <c:v>0.63047375120000004</c:v>
                </c:pt>
                <c:pt idx="38">
                  <c:v>0.57669654299999995</c:v>
                </c:pt>
                <c:pt idx="39">
                  <c:v>0.51357234339999991</c:v>
                </c:pt>
                <c:pt idx="40">
                  <c:v>0.45441741339999997</c:v>
                </c:pt>
                <c:pt idx="41">
                  <c:v>0.38463508299999999</c:v>
                </c:pt>
                <c:pt idx="42">
                  <c:v>0.32957746460000004</c:v>
                </c:pt>
                <c:pt idx="43">
                  <c:v>0.27413572380000001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130-4E74-931D-D7843237669C}"/>
            </c:ext>
          </c:extLst>
        </c:ser>
        <c:ser>
          <c:idx val="25"/>
          <c:order val="24"/>
          <c:tx>
            <c:strRef>
              <c:f>'OCR 0'!$AE$13</c:f>
              <c:strCache>
                <c:ptCount val="1"/>
                <c:pt idx="0">
                  <c:v>PI 190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'OCR 0'!$AE$14:$AE$57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0.99692701630000002</c:v>
                </c:pt>
                <c:pt idx="21">
                  <c:v>0.9943661974000001</c:v>
                </c:pt>
                <c:pt idx="22">
                  <c:v>0.98994878399999997</c:v>
                </c:pt>
                <c:pt idx="23">
                  <c:v>0.98431498110000004</c:v>
                </c:pt>
                <c:pt idx="24">
                  <c:v>0.97733674770000001</c:v>
                </c:pt>
                <c:pt idx="25">
                  <c:v>0.96741357230000002</c:v>
                </c:pt>
                <c:pt idx="26">
                  <c:v>0.95646606899999997</c:v>
                </c:pt>
                <c:pt idx="27">
                  <c:v>0.94481434019999999</c:v>
                </c:pt>
                <c:pt idx="28">
                  <c:v>0.93002560779999999</c:v>
                </c:pt>
                <c:pt idx="29">
                  <c:v>0.91248399489999998</c:v>
                </c:pt>
                <c:pt idx="30">
                  <c:v>0.89231754159999999</c:v>
                </c:pt>
                <c:pt idx="31">
                  <c:v>0.86895006429999999</c:v>
                </c:pt>
                <c:pt idx="32">
                  <c:v>0.8433418695999999</c:v>
                </c:pt>
                <c:pt idx="33">
                  <c:v>0.81107554379999991</c:v>
                </c:pt>
                <c:pt idx="34">
                  <c:v>0.775608195</c:v>
                </c:pt>
                <c:pt idx="35">
                  <c:v>0.73437900109999998</c:v>
                </c:pt>
                <c:pt idx="36">
                  <c:v>0.69014084549999999</c:v>
                </c:pt>
                <c:pt idx="37">
                  <c:v>0.64270166409999996</c:v>
                </c:pt>
                <c:pt idx="38">
                  <c:v>0.58860435349999995</c:v>
                </c:pt>
                <c:pt idx="39">
                  <c:v>0.52439180569999999</c:v>
                </c:pt>
                <c:pt idx="40">
                  <c:v>0.46472471170000001</c:v>
                </c:pt>
                <c:pt idx="41">
                  <c:v>0.39398207399999996</c:v>
                </c:pt>
                <c:pt idx="42">
                  <c:v>0.33796414829999999</c:v>
                </c:pt>
                <c:pt idx="43">
                  <c:v>0.28079385440000004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130-4E74-931D-D7843237669C}"/>
            </c:ext>
          </c:extLst>
        </c:ser>
        <c:ser>
          <c:idx val="5"/>
          <c:order val="25"/>
          <c:tx>
            <c:strRef>
              <c:f>'OCR 0'!$J$13</c:f>
              <c:strCache>
                <c:ptCount val="1"/>
                <c:pt idx="0">
                  <c:v>PI 200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'OCR 0'!$J$14:$J$57</c:f>
              <c:numCache>
                <c:formatCode>0.000000</c:formatCode>
                <c:ptCount val="4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 formatCode="General">
                  <c:v>0.99807938500000004</c:v>
                </c:pt>
                <c:pt idx="21" formatCode="General">
                  <c:v>0.99615877100000005</c:v>
                </c:pt>
                <c:pt idx="22" formatCode="General">
                  <c:v>0.992317542</c:v>
                </c:pt>
                <c:pt idx="23" formatCode="General">
                  <c:v>0.98719590300000004</c:v>
                </c:pt>
                <c:pt idx="24" formatCode="General">
                  <c:v>0.98079385399999996</c:v>
                </c:pt>
                <c:pt idx="25" formatCode="General">
                  <c:v>0.971190781</c:v>
                </c:pt>
                <c:pt idx="26" formatCode="General">
                  <c:v>0.96094750299999998</c:v>
                </c:pt>
                <c:pt idx="27" formatCode="General">
                  <c:v>0.95006402000000001</c:v>
                </c:pt>
                <c:pt idx="28" formatCode="General">
                  <c:v>0.93597951300000004</c:v>
                </c:pt>
                <c:pt idx="29" formatCode="General">
                  <c:v>0.91933418700000002</c:v>
                </c:pt>
                <c:pt idx="30" formatCode="General">
                  <c:v>0.90012804099999999</c:v>
                </c:pt>
                <c:pt idx="31" formatCode="General">
                  <c:v>0.87772087099999996</c:v>
                </c:pt>
                <c:pt idx="32" formatCode="General">
                  <c:v>0.85339308599999997</c:v>
                </c:pt>
                <c:pt idx="33" formatCode="General">
                  <c:v>0.82202304699999995</c:v>
                </c:pt>
                <c:pt idx="34" formatCode="General">
                  <c:v>0.78745198500000002</c:v>
                </c:pt>
                <c:pt idx="35" formatCode="General">
                  <c:v>0.74647887300000004</c:v>
                </c:pt>
                <c:pt idx="36" formatCode="General">
                  <c:v>0.70230473800000004</c:v>
                </c:pt>
                <c:pt idx="37" formatCode="General">
                  <c:v>0.65492957699999998</c:v>
                </c:pt>
                <c:pt idx="38" formatCode="General">
                  <c:v>0.60051216399999996</c:v>
                </c:pt>
                <c:pt idx="39" formatCode="General">
                  <c:v>0.53521126799999996</c:v>
                </c:pt>
                <c:pt idx="40" formatCode="General">
                  <c:v>0.47503201</c:v>
                </c:pt>
                <c:pt idx="41" formatCode="General">
                  <c:v>0.40332906499999999</c:v>
                </c:pt>
                <c:pt idx="42" formatCode="General">
                  <c:v>0.346350832</c:v>
                </c:pt>
                <c:pt idx="43" formatCode="General">
                  <c:v>0.28745198500000002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30-4E74-931D-D78432376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7783664"/>
        <c:axId val="407784144"/>
      </c:lineChart>
      <c:catAx>
        <c:axId val="40778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altLang="zh-CN" sz="1000" b="0" i="0" u="none" strike="noStrike" baseline="0">
                    <a:effectLst/>
                  </a:rPr>
                  <a:t>ϒ (%) </a:t>
                </a:r>
                <a:endParaRPr lang="en-GB" alt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 altLang="zh-C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36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784144"/>
        <c:crosses val="autoZero"/>
        <c:auto val="1"/>
        <c:lblAlgn val="ctr"/>
        <c:lblOffset val="100"/>
        <c:noMultiLvlLbl val="0"/>
      </c:catAx>
      <c:valAx>
        <c:axId val="407784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G/Gmax </a:t>
                </a:r>
                <a:endParaRPr lang="en-GB" altLang="zh-CN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 altLang="zh-CN"/>
            </a:p>
          </c:txPr>
        </c:title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78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624020562681098"/>
          <c:y val="0.10015366711352605"/>
          <c:w val="7.3759794373188997E-2"/>
          <c:h val="0.854755413039153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93886</xdr:colOff>
      <xdr:row>16</xdr:row>
      <xdr:rowOff>39870</xdr:rowOff>
    </xdr:from>
    <xdr:to>
      <xdr:col>47</xdr:col>
      <xdr:colOff>133350</xdr:colOff>
      <xdr:row>49</xdr:row>
      <xdr:rowOff>87153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C3D63-FDF7-604C-5522-8FAE2ED70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97182-569B-415D-931C-4AFA7D0D81F3}">
  <dimension ref="D13:AE61"/>
  <sheetViews>
    <sheetView tabSelected="1" topLeftCell="A5" zoomScaleNormal="100" workbookViewId="0">
      <selection activeCell="L31" sqref="L31"/>
    </sheetView>
  </sheetViews>
  <sheetFormatPr defaultRowHeight="14.1" x14ac:dyDescent="0.5"/>
  <cols>
    <col min="2" max="2" width="11.19921875" customWidth="1"/>
    <col min="12" max="12" width="9.546875" bestFit="1" customWidth="1"/>
    <col min="15" max="15" width="9.546875" bestFit="1" customWidth="1"/>
    <col min="17" max="18" width="9.546875" bestFit="1" customWidth="1"/>
    <col min="20" max="22" width="9.546875" bestFit="1" customWidth="1"/>
    <col min="24" max="31" width="9.546875" bestFit="1" customWidth="1"/>
  </cols>
  <sheetData>
    <row r="13" spans="4:31" ht="14.4" x14ac:dyDescent="0.5">
      <c r="D13" s="1" t="s">
        <v>0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6</v>
      </c>
      <c r="L13" t="s">
        <v>7</v>
      </c>
      <c r="M13" t="s">
        <v>8</v>
      </c>
      <c r="N13" t="s">
        <v>9</v>
      </c>
      <c r="O13" t="s">
        <v>10</v>
      </c>
      <c r="P13" t="s">
        <v>11</v>
      </c>
      <c r="Q13" t="s">
        <v>12</v>
      </c>
      <c r="R13" t="s">
        <v>13</v>
      </c>
      <c r="S13" t="s">
        <v>14</v>
      </c>
      <c r="T13" t="s">
        <v>15</v>
      </c>
      <c r="U13" t="s">
        <v>16</v>
      </c>
      <c r="V13" t="s">
        <v>17</v>
      </c>
      <c r="W13" t="s">
        <v>18</v>
      </c>
      <c r="X13" t="s">
        <v>19</v>
      </c>
      <c r="Y13" t="s">
        <v>20</v>
      </c>
      <c r="Z13" t="s">
        <v>21</v>
      </c>
      <c r="AA13" t="s">
        <v>22</v>
      </c>
      <c r="AB13" t="s">
        <v>23</v>
      </c>
      <c r="AC13" t="s">
        <v>24</v>
      </c>
      <c r="AD13" t="s">
        <v>25</v>
      </c>
      <c r="AE13" t="s">
        <v>26</v>
      </c>
    </row>
    <row r="14" spans="4:31" x14ac:dyDescent="0.5">
      <c r="D14" s="3">
        <v>1.0000000000000002E-4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L14" s="4">
        <f>E14+((5-0)*(F14-E14)/(15-0))</f>
        <v>1</v>
      </c>
      <c r="M14" s="4">
        <f>E14+((10-0)*(F14-E14)/(15-0))</f>
        <v>1</v>
      </c>
      <c r="N14" s="4">
        <f>F14+((20-15)*(G14-F14)/(30-15))</f>
        <v>1</v>
      </c>
      <c r="O14" s="4">
        <f>F14+((25-15)*(G14-F14)/(30-15))</f>
        <v>1</v>
      </c>
      <c r="P14" s="4">
        <f>G14+((35-30)*(H14-G14)/(50-30))</f>
        <v>1</v>
      </c>
      <c r="Q14" s="4">
        <f>G14+((40-30)*(H14-G14)/(50-30))</f>
        <v>1</v>
      </c>
      <c r="R14" s="4">
        <f>G14+((45-30)*(H14-G14)/(50-30))</f>
        <v>1</v>
      </c>
      <c r="S14" s="4">
        <f>H14+((60-50)*(I14-H14)/(100-50))</f>
        <v>1</v>
      </c>
      <c r="T14" s="4">
        <f>H14+((70-50)*(I14-H14)/(100-50))</f>
        <v>1</v>
      </c>
      <c r="U14" s="4">
        <f>H14+((80-50)*(I14-H14)/(100-50))</f>
        <v>1</v>
      </c>
      <c r="V14" s="4">
        <f>H14+((90-50)*(I14-H14)/(100-50))</f>
        <v>1</v>
      </c>
      <c r="W14" s="4">
        <f>I14+((110-100)*(J14-I14)/(200-100))</f>
        <v>1</v>
      </c>
      <c r="X14" s="4">
        <f>I14+((120-100)*(J14-I14)/(200-100))</f>
        <v>1</v>
      </c>
      <c r="Y14" s="4">
        <f>I14+((130-100)*(J14-I14)/(200-100))</f>
        <v>1</v>
      </c>
      <c r="Z14" s="4">
        <f>I14+((140-100)*(J14-I14)/(200-100))</f>
        <v>1</v>
      </c>
      <c r="AA14" s="4">
        <f>I14+((150-100)*(J14-I14)/(200-100))</f>
        <v>1</v>
      </c>
      <c r="AB14" s="4">
        <f>I14+((160-100)*(J14-I14)/(200-100))</f>
        <v>1</v>
      </c>
      <c r="AC14" s="4">
        <f>I14+((170-100)*(J14-I14)/(200-100))</f>
        <v>1</v>
      </c>
      <c r="AD14" s="4">
        <f>I14+((180-100)*(J14-I14)/(200-100))</f>
        <v>1</v>
      </c>
      <c r="AE14" s="4">
        <f>I14+((190-100)*(J14-I14)/(200-100))</f>
        <v>1</v>
      </c>
    </row>
    <row r="15" spans="4:31" x14ac:dyDescent="0.5">
      <c r="D15" s="3">
        <v>1.9000000000000001E-4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L15" s="4">
        <f t="shared" ref="L15:L57" si="0">E15+((5-0)*(F15-E15)/(15-0))</f>
        <v>1</v>
      </c>
      <c r="M15" s="4">
        <f t="shared" ref="M15:M57" si="1">E15+((10-0)*(F15-E15)/(15-0))</f>
        <v>1</v>
      </c>
      <c r="N15" s="4">
        <f t="shared" ref="N15:N57" si="2">F15+((20-15)*(G15-F15)/(30-15))</f>
        <v>1</v>
      </c>
      <c r="O15" s="4">
        <f t="shared" ref="O15:O57" si="3">F15+((25-15)*(G15-F15)/(30-15))</f>
        <v>1</v>
      </c>
      <c r="P15" s="4">
        <f t="shared" ref="P15:P57" si="4">G15+((35-30)*(H15-G15)/(50-30))</f>
        <v>1</v>
      </c>
      <c r="Q15" s="4">
        <f t="shared" ref="Q15:Q57" si="5">G15+((40-30)*(H15-G15)/(50-30))</f>
        <v>1</v>
      </c>
      <c r="R15" s="4">
        <f t="shared" ref="R15:R57" si="6">G15+((45-30)*(H15-G15)/(50-30))</f>
        <v>1</v>
      </c>
      <c r="S15" s="4">
        <f t="shared" ref="S15:S57" si="7">H15+((60-50)*(I15-H15)/(100-50))</f>
        <v>1</v>
      </c>
      <c r="T15" s="4">
        <f t="shared" ref="T15:T57" si="8">H15+((70-50)*(I15-H15)/(100-50))</f>
        <v>1</v>
      </c>
      <c r="U15" s="4">
        <f t="shared" ref="U15:U57" si="9">H15+((80-50)*(I15-H15)/(100-50))</f>
        <v>1</v>
      </c>
      <c r="V15" s="4">
        <f t="shared" ref="V15:V57" si="10">H15+((90-50)*(I15-H15)/(100-50))</f>
        <v>1</v>
      </c>
      <c r="W15" s="4">
        <f t="shared" ref="W15:W57" si="11">I15+((110-100)*(J15-I15)/(200-100))</f>
        <v>1</v>
      </c>
      <c r="X15" s="4">
        <f t="shared" ref="X15:X57" si="12">I15+((120-100)*(J15-I15)/(200-100))</f>
        <v>1</v>
      </c>
      <c r="Y15" s="4">
        <f t="shared" ref="Y15:Y57" si="13">I15+((130-100)*(J15-I15)/(200-100))</f>
        <v>1</v>
      </c>
      <c r="Z15" s="4">
        <f t="shared" ref="Z15:Z57" si="14">I15+((140-100)*(J15-I15)/(200-100))</f>
        <v>1</v>
      </c>
      <c r="AA15" s="4">
        <f t="shared" ref="AA15:AA57" si="15">I15+((150-100)*(J15-I15)/(200-100))</f>
        <v>1</v>
      </c>
      <c r="AB15" s="4">
        <f t="shared" ref="AB15:AB57" si="16">I15+((160-100)*(J15-I15)/(200-100))</f>
        <v>1</v>
      </c>
      <c r="AC15" s="4">
        <f t="shared" ref="AC15:AC57" si="17">I15+((170-100)*(J15-I15)/(200-100))</f>
        <v>1</v>
      </c>
      <c r="AD15" s="4">
        <f t="shared" ref="AD15:AD57" si="18">I15+((180-100)*(J15-I15)/(200-100))</f>
        <v>1</v>
      </c>
      <c r="AE15" s="4">
        <f t="shared" ref="AE15:AE57" si="19">I15+((190-100)*(J15-I15)/(200-100))</f>
        <v>1</v>
      </c>
    </row>
    <row r="16" spans="4:31" x14ac:dyDescent="0.5">
      <c r="D16" s="3">
        <v>2.8000000000000003E-4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L16" s="4">
        <f t="shared" si="0"/>
        <v>1</v>
      </c>
      <c r="M16" s="4">
        <f t="shared" si="1"/>
        <v>1</v>
      </c>
      <c r="N16" s="4">
        <f t="shared" si="2"/>
        <v>1</v>
      </c>
      <c r="O16" s="4">
        <f t="shared" si="3"/>
        <v>1</v>
      </c>
      <c r="P16" s="4">
        <f t="shared" si="4"/>
        <v>1</v>
      </c>
      <c r="Q16" s="4">
        <f t="shared" si="5"/>
        <v>1</v>
      </c>
      <c r="R16" s="4">
        <f t="shared" si="6"/>
        <v>1</v>
      </c>
      <c r="S16" s="4">
        <f t="shared" si="7"/>
        <v>1</v>
      </c>
      <c r="T16" s="4">
        <f t="shared" si="8"/>
        <v>1</v>
      </c>
      <c r="U16" s="4">
        <f t="shared" si="9"/>
        <v>1</v>
      </c>
      <c r="V16" s="4">
        <f t="shared" si="10"/>
        <v>1</v>
      </c>
      <c r="W16" s="4">
        <f t="shared" si="11"/>
        <v>1</v>
      </c>
      <c r="X16" s="4">
        <f t="shared" si="12"/>
        <v>1</v>
      </c>
      <c r="Y16" s="4">
        <f t="shared" si="13"/>
        <v>1</v>
      </c>
      <c r="Z16" s="4">
        <f t="shared" si="14"/>
        <v>1</v>
      </c>
      <c r="AA16" s="4">
        <f t="shared" si="15"/>
        <v>1</v>
      </c>
      <c r="AB16" s="4">
        <f t="shared" si="16"/>
        <v>1</v>
      </c>
      <c r="AC16" s="4">
        <f t="shared" si="17"/>
        <v>1</v>
      </c>
      <c r="AD16" s="4">
        <f t="shared" si="18"/>
        <v>1</v>
      </c>
      <c r="AE16" s="4">
        <f t="shared" si="19"/>
        <v>1</v>
      </c>
    </row>
    <row r="17" spans="4:31" x14ac:dyDescent="0.5">
      <c r="D17" s="3">
        <v>3.7000000000000005E-4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L17" s="4">
        <f t="shared" si="0"/>
        <v>1</v>
      </c>
      <c r="M17" s="4">
        <f t="shared" si="1"/>
        <v>1</v>
      </c>
      <c r="N17" s="4">
        <f t="shared" si="2"/>
        <v>1</v>
      </c>
      <c r="O17" s="4">
        <f t="shared" si="3"/>
        <v>1</v>
      </c>
      <c r="P17" s="4">
        <f t="shared" si="4"/>
        <v>1</v>
      </c>
      <c r="Q17" s="4">
        <f t="shared" si="5"/>
        <v>1</v>
      </c>
      <c r="R17" s="4">
        <f t="shared" si="6"/>
        <v>1</v>
      </c>
      <c r="S17" s="4">
        <f t="shared" si="7"/>
        <v>1</v>
      </c>
      <c r="T17" s="4">
        <f t="shared" si="8"/>
        <v>1</v>
      </c>
      <c r="U17" s="4">
        <f t="shared" si="9"/>
        <v>1</v>
      </c>
      <c r="V17" s="4">
        <f t="shared" si="10"/>
        <v>1</v>
      </c>
      <c r="W17" s="4">
        <f t="shared" si="11"/>
        <v>1</v>
      </c>
      <c r="X17" s="4">
        <f t="shared" si="12"/>
        <v>1</v>
      </c>
      <c r="Y17" s="4">
        <f t="shared" si="13"/>
        <v>1</v>
      </c>
      <c r="Z17" s="4">
        <f t="shared" si="14"/>
        <v>1</v>
      </c>
      <c r="AA17" s="4">
        <f t="shared" si="15"/>
        <v>1</v>
      </c>
      <c r="AB17" s="4">
        <f t="shared" si="16"/>
        <v>1</v>
      </c>
      <c r="AC17" s="4">
        <f t="shared" si="17"/>
        <v>1</v>
      </c>
      <c r="AD17" s="4">
        <f t="shared" si="18"/>
        <v>1</v>
      </c>
      <c r="AE17" s="4">
        <f t="shared" si="19"/>
        <v>1</v>
      </c>
    </row>
    <row r="18" spans="4:31" x14ac:dyDescent="0.5">
      <c r="D18" s="3">
        <v>4.6000000000000007E-4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L18" s="4">
        <f t="shared" si="0"/>
        <v>1</v>
      </c>
      <c r="M18" s="4">
        <f t="shared" si="1"/>
        <v>1</v>
      </c>
      <c r="N18" s="4">
        <f t="shared" si="2"/>
        <v>1</v>
      </c>
      <c r="O18" s="4">
        <f t="shared" si="3"/>
        <v>1</v>
      </c>
      <c r="P18" s="4">
        <f t="shared" si="4"/>
        <v>1</v>
      </c>
      <c r="Q18" s="4">
        <f t="shared" si="5"/>
        <v>1</v>
      </c>
      <c r="R18" s="4">
        <f t="shared" si="6"/>
        <v>1</v>
      </c>
      <c r="S18" s="4">
        <f t="shared" si="7"/>
        <v>1</v>
      </c>
      <c r="T18" s="4">
        <f t="shared" si="8"/>
        <v>1</v>
      </c>
      <c r="U18" s="4">
        <f t="shared" si="9"/>
        <v>1</v>
      </c>
      <c r="V18" s="4">
        <f t="shared" si="10"/>
        <v>1</v>
      </c>
      <c r="W18" s="4">
        <f t="shared" si="11"/>
        <v>1</v>
      </c>
      <c r="X18" s="4">
        <f t="shared" si="12"/>
        <v>1</v>
      </c>
      <c r="Y18" s="4">
        <f t="shared" si="13"/>
        <v>1</v>
      </c>
      <c r="Z18" s="4">
        <f t="shared" si="14"/>
        <v>1</v>
      </c>
      <c r="AA18" s="4">
        <f t="shared" si="15"/>
        <v>1</v>
      </c>
      <c r="AB18" s="4">
        <f t="shared" si="16"/>
        <v>1</v>
      </c>
      <c r="AC18" s="4">
        <f t="shared" si="17"/>
        <v>1</v>
      </c>
      <c r="AD18" s="4">
        <f t="shared" si="18"/>
        <v>1</v>
      </c>
      <c r="AE18" s="4">
        <f t="shared" si="19"/>
        <v>1</v>
      </c>
    </row>
    <row r="19" spans="4:31" x14ac:dyDescent="0.5">
      <c r="D19" s="3">
        <v>5.5000000000000003E-4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L19" s="4">
        <f t="shared" si="0"/>
        <v>1</v>
      </c>
      <c r="M19" s="4">
        <f t="shared" si="1"/>
        <v>1</v>
      </c>
      <c r="N19" s="4">
        <f t="shared" si="2"/>
        <v>1</v>
      </c>
      <c r="O19" s="4">
        <f t="shared" si="3"/>
        <v>1</v>
      </c>
      <c r="P19" s="4">
        <f t="shared" si="4"/>
        <v>1</v>
      </c>
      <c r="Q19" s="4">
        <f t="shared" si="5"/>
        <v>1</v>
      </c>
      <c r="R19" s="4">
        <f t="shared" si="6"/>
        <v>1</v>
      </c>
      <c r="S19" s="4">
        <f t="shared" si="7"/>
        <v>1</v>
      </c>
      <c r="T19" s="4">
        <f t="shared" si="8"/>
        <v>1</v>
      </c>
      <c r="U19" s="4">
        <f t="shared" si="9"/>
        <v>1</v>
      </c>
      <c r="V19" s="4">
        <f t="shared" si="10"/>
        <v>1</v>
      </c>
      <c r="W19" s="4">
        <f t="shared" si="11"/>
        <v>1</v>
      </c>
      <c r="X19" s="4">
        <f t="shared" si="12"/>
        <v>1</v>
      </c>
      <c r="Y19" s="4">
        <f t="shared" si="13"/>
        <v>1</v>
      </c>
      <c r="Z19" s="4">
        <f t="shared" si="14"/>
        <v>1</v>
      </c>
      <c r="AA19" s="4">
        <f t="shared" si="15"/>
        <v>1</v>
      </c>
      <c r="AB19" s="4">
        <f t="shared" si="16"/>
        <v>1</v>
      </c>
      <c r="AC19" s="4">
        <f t="shared" si="17"/>
        <v>1</v>
      </c>
      <c r="AD19" s="4">
        <f t="shared" si="18"/>
        <v>1</v>
      </c>
      <c r="AE19" s="4">
        <f t="shared" si="19"/>
        <v>1</v>
      </c>
    </row>
    <row r="20" spans="4:31" x14ac:dyDescent="0.5">
      <c r="D20" s="3">
        <v>6.4000000000000005E-4</v>
      </c>
      <c r="E20">
        <v>0.99743918053777203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L20" s="4">
        <v>1</v>
      </c>
      <c r="M20" s="4">
        <v>1</v>
      </c>
      <c r="N20" s="4">
        <f t="shared" si="2"/>
        <v>1</v>
      </c>
      <c r="O20" s="4">
        <f t="shared" si="3"/>
        <v>1</v>
      </c>
      <c r="P20" s="4">
        <f t="shared" si="4"/>
        <v>1</v>
      </c>
      <c r="Q20" s="4">
        <f t="shared" si="5"/>
        <v>1</v>
      </c>
      <c r="R20" s="4">
        <f t="shared" si="6"/>
        <v>1</v>
      </c>
      <c r="S20" s="4">
        <f t="shared" si="7"/>
        <v>1</v>
      </c>
      <c r="T20" s="4">
        <f t="shared" si="8"/>
        <v>1</v>
      </c>
      <c r="U20" s="4">
        <f t="shared" si="9"/>
        <v>1</v>
      </c>
      <c r="V20" s="4">
        <f t="shared" si="10"/>
        <v>1</v>
      </c>
      <c r="W20" s="4">
        <f t="shared" si="11"/>
        <v>1</v>
      </c>
      <c r="X20" s="4">
        <f t="shared" si="12"/>
        <v>1</v>
      </c>
      <c r="Y20" s="4">
        <f t="shared" si="13"/>
        <v>1</v>
      </c>
      <c r="Z20" s="4">
        <f t="shared" si="14"/>
        <v>1</v>
      </c>
      <c r="AA20" s="4">
        <f t="shared" si="15"/>
        <v>1</v>
      </c>
      <c r="AB20" s="4">
        <f t="shared" si="16"/>
        <v>1</v>
      </c>
      <c r="AC20" s="4">
        <f t="shared" si="17"/>
        <v>1</v>
      </c>
      <c r="AD20" s="4">
        <f t="shared" si="18"/>
        <v>1</v>
      </c>
      <c r="AE20" s="4">
        <f t="shared" si="19"/>
        <v>1</v>
      </c>
    </row>
    <row r="21" spans="4:31" x14ac:dyDescent="0.5">
      <c r="D21" s="3">
        <v>7.3000000000000007E-4</v>
      </c>
      <c r="E21">
        <v>0.99487836107554395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L21" s="4">
        <f t="shared" si="0"/>
        <v>0.99658557405036263</v>
      </c>
      <c r="M21" s="4">
        <v>1</v>
      </c>
      <c r="N21" s="4">
        <f t="shared" si="2"/>
        <v>1</v>
      </c>
      <c r="O21" s="4">
        <f t="shared" si="3"/>
        <v>1</v>
      </c>
      <c r="P21" s="4">
        <f t="shared" si="4"/>
        <v>1</v>
      </c>
      <c r="Q21" s="4">
        <f t="shared" si="5"/>
        <v>1</v>
      </c>
      <c r="R21" s="4">
        <f t="shared" si="6"/>
        <v>1</v>
      </c>
      <c r="S21" s="4">
        <f t="shared" si="7"/>
        <v>1</v>
      </c>
      <c r="T21" s="4">
        <f t="shared" si="8"/>
        <v>1</v>
      </c>
      <c r="U21" s="4">
        <f t="shared" si="9"/>
        <v>1</v>
      </c>
      <c r="V21" s="4">
        <f t="shared" si="10"/>
        <v>1</v>
      </c>
      <c r="W21" s="4">
        <f t="shared" si="11"/>
        <v>1</v>
      </c>
      <c r="X21" s="4">
        <f t="shared" si="12"/>
        <v>1</v>
      </c>
      <c r="Y21" s="4">
        <f t="shared" si="13"/>
        <v>1</v>
      </c>
      <c r="Z21" s="4">
        <f t="shared" si="14"/>
        <v>1</v>
      </c>
      <c r="AA21" s="4">
        <f t="shared" si="15"/>
        <v>1</v>
      </c>
      <c r="AB21" s="4">
        <f t="shared" si="16"/>
        <v>1</v>
      </c>
      <c r="AC21" s="4">
        <f t="shared" si="17"/>
        <v>1</v>
      </c>
      <c r="AD21" s="4">
        <f t="shared" si="18"/>
        <v>1</v>
      </c>
      <c r="AE21" s="4">
        <f t="shared" si="19"/>
        <v>1</v>
      </c>
    </row>
    <row r="22" spans="4:31" x14ac:dyDescent="0.5">
      <c r="D22" s="3">
        <v>8.2000000000000009E-4</v>
      </c>
      <c r="E22">
        <v>0.98719590268886004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L22" s="4">
        <f t="shared" si="0"/>
        <v>0.99146393512590669</v>
      </c>
      <c r="M22" s="4">
        <f t="shared" si="1"/>
        <v>0.99573196756295335</v>
      </c>
      <c r="N22" s="4">
        <f t="shared" si="2"/>
        <v>1</v>
      </c>
      <c r="O22" s="4">
        <f t="shared" si="3"/>
        <v>1</v>
      </c>
      <c r="P22" s="4">
        <f t="shared" si="4"/>
        <v>1</v>
      </c>
      <c r="Q22" s="4">
        <f t="shared" si="5"/>
        <v>1</v>
      </c>
      <c r="R22" s="4">
        <f t="shared" si="6"/>
        <v>1</v>
      </c>
      <c r="S22" s="4">
        <f t="shared" si="7"/>
        <v>1</v>
      </c>
      <c r="T22" s="4">
        <f t="shared" si="8"/>
        <v>1</v>
      </c>
      <c r="U22" s="4">
        <f t="shared" si="9"/>
        <v>1</v>
      </c>
      <c r="V22" s="4">
        <f t="shared" si="10"/>
        <v>1</v>
      </c>
      <c r="W22" s="4">
        <f t="shared" si="11"/>
        <v>1</v>
      </c>
      <c r="X22" s="4">
        <f t="shared" si="12"/>
        <v>1</v>
      </c>
      <c r="Y22" s="4">
        <f t="shared" si="13"/>
        <v>1</v>
      </c>
      <c r="Z22" s="4">
        <f t="shared" si="14"/>
        <v>1</v>
      </c>
      <c r="AA22" s="4">
        <f t="shared" si="15"/>
        <v>1</v>
      </c>
      <c r="AB22" s="4">
        <f t="shared" si="16"/>
        <v>1</v>
      </c>
      <c r="AC22" s="4">
        <f t="shared" si="17"/>
        <v>1</v>
      </c>
      <c r="AD22" s="4">
        <f t="shared" si="18"/>
        <v>1</v>
      </c>
      <c r="AE22" s="4">
        <f t="shared" si="19"/>
        <v>1</v>
      </c>
    </row>
    <row r="23" spans="4:31" x14ac:dyDescent="0.5">
      <c r="D23" s="3">
        <v>9.1000000000000011E-4</v>
      </c>
      <c r="E23">
        <v>0.97695262483994805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L23" s="4">
        <f t="shared" si="0"/>
        <v>0.98463508322663207</v>
      </c>
      <c r="M23" s="4">
        <f t="shared" si="1"/>
        <v>0.99231754161331598</v>
      </c>
      <c r="N23" s="4">
        <f t="shared" si="2"/>
        <v>1</v>
      </c>
      <c r="O23" s="4">
        <f t="shared" si="3"/>
        <v>1</v>
      </c>
      <c r="P23" s="4">
        <f t="shared" si="4"/>
        <v>1</v>
      </c>
      <c r="Q23" s="4">
        <f t="shared" si="5"/>
        <v>1</v>
      </c>
      <c r="R23" s="4">
        <f t="shared" si="6"/>
        <v>1</v>
      </c>
      <c r="S23" s="4">
        <f t="shared" si="7"/>
        <v>1</v>
      </c>
      <c r="T23" s="4">
        <f t="shared" si="8"/>
        <v>1</v>
      </c>
      <c r="U23" s="4">
        <f t="shared" si="9"/>
        <v>1</v>
      </c>
      <c r="V23" s="4">
        <f t="shared" si="10"/>
        <v>1</v>
      </c>
      <c r="W23" s="4">
        <f t="shared" si="11"/>
        <v>1</v>
      </c>
      <c r="X23" s="4">
        <f t="shared" si="12"/>
        <v>1</v>
      </c>
      <c r="Y23" s="4">
        <f t="shared" si="13"/>
        <v>1</v>
      </c>
      <c r="Z23" s="4">
        <f t="shared" si="14"/>
        <v>1</v>
      </c>
      <c r="AA23" s="4">
        <f t="shared" si="15"/>
        <v>1</v>
      </c>
      <c r="AB23" s="4">
        <f t="shared" si="16"/>
        <v>1</v>
      </c>
      <c r="AC23" s="4">
        <f t="shared" si="17"/>
        <v>1</v>
      </c>
      <c r="AD23" s="4">
        <f t="shared" si="18"/>
        <v>1</v>
      </c>
      <c r="AE23" s="4">
        <f t="shared" si="19"/>
        <v>1</v>
      </c>
    </row>
    <row r="24" spans="4:31" x14ac:dyDescent="0.5">
      <c r="D24" s="3">
        <v>1E-3</v>
      </c>
      <c r="E24">
        <v>0.96542893725992296</v>
      </c>
      <c r="F24">
        <v>0.99743918099999995</v>
      </c>
      <c r="G24" s="4">
        <v>1</v>
      </c>
      <c r="H24" s="4">
        <v>1</v>
      </c>
      <c r="I24" s="4">
        <v>1</v>
      </c>
      <c r="J24" s="4">
        <v>1</v>
      </c>
      <c r="L24" s="4">
        <f t="shared" si="0"/>
        <v>0.97609901850661529</v>
      </c>
      <c r="M24" s="4">
        <f t="shared" si="1"/>
        <v>0.98676909975330762</v>
      </c>
      <c r="N24" s="4">
        <v>1</v>
      </c>
      <c r="O24" s="4">
        <v>1</v>
      </c>
      <c r="P24" s="4">
        <f t="shared" si="4"/>
        <v>1</v>
      </c>
      <c r="Q24" s="4">
        <f t="shared" si="5"/>
        <v>1</v>
      </c>
      <c r="R24" s="4">
        <f t="shared" si="6"/>
        <v>1</v>
      </c>
      <c r="S24" s="4">
        <f t="shared" si="7"/>
        <v>1</v>
      </c>
      <c r="T24" s="4">
        <f t="shared" si="8"/>
        <v>1</v>
      </c>
      <c r="U24" s="4">
        <f t="shared" si="9"/>
        <v>1</v>
      </c>
      <c r="V24" s="4">
        <f t="shared" si="10"/>
        <v>1</v>
      </c>
      <c r="W24" s="4">
        <f t="shared" si="11"/>
        <v>1</v>
      </c>
      <c r="X24" s="4">
        <f t="shared" si="12"/>
        <v>1</v>
      </c>
      <c r="Y24" s="4">
        <f t="shared" si="13"/>
        <v>1</v>
      </c>
      <c r="Z24" s="4">
        <f t="shared" si="14"/>
        <v>1</v>
      </c>
      <c r="AA24" s="4">
        <f t="shared" si="15"/>
        <v>1</v>
      </c>
      <c r="AB24" s="4">
        <f t="shared" si="16"/>
        <v>1</v>
      </c>
      <c r="AC24" s="4">
        <f t="shared" si="17"/>
        <v>1</v>
      </c>
      <c r="AD24" s="4">
        <f t="shared" si="18"/>
        <v>1</v>
      </c>
      <c r="AE24" s="4">
        <f t="shared" si="19"/>
        <v>1</v>
      </c>
    </row>
    <row r="25" spans="4:31" x14ac:dyDescent="0.5">
      <c r="D25" s="3">
        <v>1.9000000000000002E-3</v>
      </c>
      <c r="E25">
        <v>0.95198463508322595</v>
      </c>
      <c r="F25">
        <v>0.98975672199999998</v>
      </c>
      <c r="G25" s="4">
        <v>1</v>
      </c>
      <c r="H25" s="4">
        <v>1</v>
      </c>
      <c r="I25" s="4">
        <v>1</v>
      </c>
      <c r="J25" s="4">
        <v>1</v>
      </c>
      <c r="L25" s="4">
        <f t="shared" si="0"/>
        <v>0.96457533072215063</v>
      </c>
      <c r="M25" s="4">
        <f t="shared" si="1"/>
        <v>0.9771660263610753</v>
      </c>
      <c r="N25" s="4">
        <f t="shared" si="2"/>
        <v>0.99317114799999995</v>
      </c>
      <c r="O25" s="4">
        <v>1</v>
      </c>
      <c r="P25" s="4">
        <f t="shared" si="4"/>
        <v>1</v>
      </c>
      <c r="Q25" s="4">
        <f t="shared" si="5"/>
        <v>1</v>
      </c>
      <c r="R25" s="4">
        <f t="shared" si="6"/>
        <v>1</v>
      </c>
      <c r="S25" s="4">
        <f t="shared" si="7"/>
        <v>1</v>
      </c>
      <c r="T25" s="4">
        <f t="shared" si="8"/>
        <v>1</v>
      </c>
      <c r="U25" s="4">
        <f t="shared" si="9"/>
        <v>1</v>
      </c>
      <c r="V25" s="4">
        <f t="shared" si="10"/>
        <v>1</v>
      </c>
      <c r="W25" s="4">
        <f t="shared" si="11"/>
        <v>1</v>
      </c>
      <c r="X25" s="4">
        <f t="shared" si="12"/>
        <v>1</v>
      </c>
      <c r="Y25" s="4">
        <f t="shared" si="13"/>
        <v>1</v>
      </c>
      <c r="Z25" s="4">
        <f t="shared" si="14"/>
        <v>1</v>
      </c>
      <c r="AA25" s="4">
        <f t="shared" si="15"/>
        <v>1</v>
      </c>
      <c r="AB25" s="4">
        <f t="shared" si="16"/>
        <v>1</v>
      </c>
      <c r="AC25" s="4">
        <f t="shared" si="17"/>
        <v>1</v>
      </c>
      <c r="AD25" s="4">
        <f t="shared" si="18"/>
        <v>1</v>
      </c>
      <c r="AE25" s="4">
        <f t="shared" si="19"/>
        <v>1</v>
      </c>
    </row>
    <row r="26" spans="4:31" x14ac:dyDescent="0.5">
      <c r="D26" s="3">
        <v>2.8000000000000004E-3</v>
      </c>
      <c r="E26">
        <v>0.93854033290653005</v>
      </c>
      <c r="F26">
        <v>0.98143405900000003</v>
      </c>
      <c r="G26" s="4">
        <v>1</v>
      </c>
      <c r="H26" s="4">
        <v>1</v>
      </c>
      <c r="I26" s="4">
        <v>1</v>
      </c>
      <c r="J26" s="4">
        <v>1</v>
      </c>
      <c r="L26" s="4">
        <f t="shared" si="0"/>
        <v>0.95283824160435338</v>
      </c>
      <c r="M26" s="4">
        <f t="shared" si="1"/>
        <v>0.9671361503021767</v>
      </c>
      <c r="N26" s="4">
        <f t="shared" si="2"/>
        <v>0.98762270600000002</v>
      </c>
      <c r="O26" s="4">
        <v>1</v>
      </c>
      <c r="P26" s="4">
        <f t="shared" si="4"/>
        <v>1</v>
      </c>
      <c r="Q26" s="4">
        <f t="shared" si="5"/>
        <v>1</v>
      </c>
      <c r="R26" s="4">
        <f t="shared" si="6"/>
        <v>1</v>
      </c>
      <c r="S26" s="4">
        <f t="shared" si="7"/>
        <v>1</v>
      </c>
      <c r="T26" s="4">
        <f t="shared" si="8"/>
        <v>1</v>
      </c>
      <c r="U26" s="4">
        <f t="shared" si="9"/>
        <v>1</v>
      </c>
      <c r="V26" s="4">
        <f t="shared" si="10"/>
        <v>1</v>
      </c>
      <c r="W26" s="4">
        <f t="shared" si="11"/>
        <v>1</v>
      </c>
      <c r="X26" s="4">
        <f t="shared" si="12"/>
        <v>1</v>
      </c>
      <c r="Y26" s="4">
        <f t="shared" si="13"/>
        <v>1</v>
      </c>
      <c r="Z26" s="4">
        <f t="shared" si="14"/>
        <v>1</v>
      </c>
      <c r="AA26" s="4">
        <f t="shared" si="15"/>
        <v>1</v>
      </c>
      <c r="AB26" s="4">
        <f t="shared" si="16"/>
        <v>1</v>
      </c>
      <c r="AC26" s="4">
        <f t="shared" si="17"/>
        <v>1</v>
      </c>
      <c r="AD26" s="4">
        <f t="shared" si="18"/>
        <v>1</v>
      </c>
      <c r="AE26" s="4">
        <f t="shared" si="19"/>
        <v>1</v>
      </c>
    </row>
    <row r="27" spans="4:31" x14ac:dyDescent="0.5">
      <c r="D27" s="3">
        <v>3.7000000000000006E-3</v>
      </c>
      <c r="E27">
        <v>0.92125480153649097</v>
      </c>
      <c r="F27">
        <v>0.97055057600000005</v>
      </c>
      <c r="G27">
        <v>0.99743918099999995</v>
      </c>
      <c r="H27" s="4">
        <v>1</v>
      </c>
      <c r="I27" s="4">
        <v>1</v>
      </c>
      <c r="J27" s="4">
        <v>1</v>
      </c>
      <c r="L27" s="4">
        <f t="shared" si="0"/>
        <v>0.9376867263576607</v>
      </c>
      <c r="M27" s="4">
        <f t="shared" si="1"/>
        <v>0.95411865117883032</v>
      </c>
      <c r="N27" s="4">
        <f t="shared" si="2"/>
        <v>0.97951344433333332</v>
      </c>
      <c r="O27" s="4">
        <f t="shared" si="3"/>
        <v>0.98847631266666669</v>
      </c>
      <c r="P27" s="4">
        <f t="shared" si="4"/>
        <v>0.99807938574999999</v>
      </c>
      <c r="Q27" s="4">
        <v>1</v>
      </c>
      <c r="R27" s="4">
        <v>1</v>
      </c>
      <c r="S27" s="4">
        <f t="shared" si="7"/>
        <v>1</v>
      </c>
      <c r="T27" s="4">
        <f t="shared" si="8"/>
        <v>1</v>
      </c>
      <c r="U27" s="4">
        <f t="shared" si="9"/>
        <v>1</v>
      </c>
      <c r="V27" s="4">
        <f t="shared" si="10"/>
        <v>1</v>
      </c>
      <c r="W27" s="4">
        <f t="shared" si="11"/>
        <v>1</v>
      </c>
      <c r="X27" s="4">
        <f t="shared" si="12"/>
        <v>1</v>
      </c>
      <c r="Y27" s="4">
        <f t="shared" si="13"/>
        <v>1</v>
      </c>
      <c r="Z27" s="4">
        <f t="shared" si="14"/>
        <v>1</v>
      </c>
      <c r="AA27" s="4">
        <f t="shared" si="15"/>
        <v>1</v>
      </c>
      <c r="AB27" s="4">
        <f t="shared" si="16"/>
        <v>1</v>
      </c>
      <c r="AC27" s="4">
        <f t="shared" si="17"/>
        <v>1</v>
      </c>
      <c r="AD27" s="4">
        <f t="shared" si="18"/>
        <v>1</v>
      </c>
      <c r="AE27" s="4">
        <f t="shared" si="19"/>
        <v>1</v>
      </c>
    </row>
    <row r="28" spans="4:31" x14ac:dyDescent="0.5">
      <c r="D28" s="3">
        <v>4.6000000000000008E-3</v>
      </c>
      <c r="E28">
        <v>0.90076824583866799</v>
      </c>
      <c r="F28">
        <v>0.95582586400000003</v>
      </c>
      <c r="G28">
        <v>0.98975672199999998</v>
      </c>
      <c r="H28" s="4">
        <v>1</v>
      </c>
      <c r="I28" s="4">
        <v>1</v>
      </c>
      <c r="J28" s="4">
        <v>1</v>
      </c>
      <c r="L28" s="4">
        <f t="shared" si="0"/>
        <v>0.91912078522577867</v>
      </c>
      <c r="M28" s="4">
        <f t="shared" si="1"/>
        <v>0.93747332461288935</v>
      </c>
      <c r="N28" s="4">
        <f t="shared" si="2"/>
        <v>0.96713614999999997</v>
      </c>
      <c r="O28" s="4">
        <f t="shared" si="3"/>
        <v>0.97844643600000003</v>
      </c>
      <c r="P28" s="4">
        <f t="shared" si="4"/>
        <v>0.99231754149999996</v>
      </c>
      <c r="Q28" s="4">
        <f t="shared" si="5"/>
        <v>0.99487836100000004</v>
      </c>
      <c r="R28" s="4">
        <f t="shared" si="6"/>
        <v>0.99743918050000002</v>
      </c>
      <c r="S28" s="4">
        <f t="shared" si="7"/>
        <v>1</v>
      </c>
      <c r="T28" s="4">
        <f t="shared" si="8"/>
        <v>1</v>
      </c>
      <c r="U28" s="4">
        <f t="shared" si="9"/>
        <v>1</v>
      </c>
      <c r="V28" s="4">
        <f t="shared" si="10"/>
        <v>1</v>
      </c>
      <c r="W28" s="4">
        <f t="shared" si="11"/>
        <v>1</v>
      </c>
      <c r="X28" s="4">
        <f t="shared" si="12"/>
        <v>1</v>
      </c>
      <c r="Y28" s="4">
        <f t="shared" si="13"/>
        <v>1</v>
      </c>
      <c r="Z28" s="4">
        <f t="shared" si="14"/>
        <v>1</v>
      </c>
      <c r="AA28" s="4">
        <f t="shared" si="15"/>
        <v>1</v>
      </c>
      <c r="AB28" s="4">
        <f t="shared" si="16"/>
        <v>1</v>
      </c>
      <c r="AC28" s="4">
        <f t="shared" si="17"/>
        <v>1</v>
      </c>
      <c r="AD28" s="4">
        <f t="shared" si="18"/>
        <v>1</v>
      </c>
      <c r="AE28" s="4">
        <f t="shared" si="19"/>
        <v>1</v>
      </c>
    </row>
    <row r="29" spans="4:31" x14ac:dyDescent="0.5">
      <c r="D29" s="3">
        <v>5.5000000000000005E-3</v>
      </c>
      <c r="E29">
        <v>0.87836107554417397</v>
      </c>
      <c r="F29">
        <v>0.93854033299999995</v>
      </c>
      <c r="G29">
        <v>0.98079385399999996</v>
      </c>
      <c r="H29">
        <v>0.99935979500000005</v>
      </c>
      <c r="I29" s="4">
        <v>1</v>
      </c>
      <c r="J29" s="4">
        <v>1</v>
      </c>
      <c r="L29" s="4">
        <f t="shared" si="0"/>
        <v>0.89842082802944934</v>
      </c>
      <c r="M29" s="4">
        <f t="shared" si="1"/>
        <v>0.91848058051472459</v>
      </c>
      <c r="N29" s="4">
        <f t="shared" si="2"/>
        <v>0.95262483999999992</v>
      </c>
      <c r="O29" s="4">
        <f t="shared" si="3"/>
        <v>0.966709347</v>
      </c>
      <c r="P29" s="4">
        <f t="shared" si="4"/>
        <v>0.98543533924999993</v>
      </c>
      <c r="Q29" s="4">
        <f t="shared" si="5"/>
        <v>0.99007682450000001</v>
      </c>
      <c r="R29" s="4">
        <f t="shared" si="6"/>
        <v>0.99471830975000008</v>
      </c>
      <c r="S29" s="4">
        <f t="shared" si="7"/>
        <v>0.99948783600000002</v>
      </c>
      <c r="T29" s="4">
        <v>1</v>
      </c>
      <c r="U29" s="4">
        <v>1</v>
      </c>
      <c r="V29" s="4">
        <v>1</v>
      </c>
      <c r="W29" s="4">
        <f t="shared" si="11"/>
        <v>1</v>
      </c>
      <c r="X29" s="4">
        <f t="shared" si="12"/>
        <v>1</v>
      </c>
      <c r="Y29" s="4">
        <f t="shared" si="13"/>
        <v>1</v>
      </c>
      <c r="Z29" s="4">
        <f t="shared" si="14"/>
        <v>1</v>
      </c>
      <c r="AA29" s="4">
        <f t="shared" si="15"/>
        <v>1</v>
      </c>
      <c r="AB29" s="4">
        <f t="shared" si="16"/>
        <v>1</v>
      </c>
      <c r="AC29" s="4">
        <f t="shared" si="17"/>
        <v>1</v>
      </c>
      <c r="AD29" s="4">
        <f t="shared" si="18"/>
        <v>1</v>
      </c>
      <c r="AE29" s="4">
        <f t="shared" si="19"/>
        <v>1</v>
      </c>
    </row>
    <row r="30" spans="4:31" x14ac:dyDescent="0.5">
      <c r="D30" s="3">
        <v>6.4000000000000003E-3</v>
      </c>
      <c r="E30">
        <v>0.85147247119078096</v>
      </c>
      <c r="F30">
        <v>0.91997439199999997</v>
      </c>
      <c r="G30">
        <v>0.97055057600000005</v>
      </c>
      <c r="H30">
        <v>0.99487836100000004</v>
      </c>
      <c r="I30" s="4">
        <v>1</v>
      </c>
      <c r="J30" s="4">
        <v>1</v>
      </c>
      <c r="L30" s="4">
        <f t="shared" si="0"/>
        <v>0.874306444793854</v>
      </c>
      <c r="M30" s="4">
        <f t="shared" si="1"/>
        <v>0.89714041839692693</v>
      </c>
      <c r="N30" s="4">
        <f t="shared" si="2"/>
        <v>0.93683311999999996</v>
      </c>
      <c r="O30" s="4">
        <f t="shared" si="3"/>
        <v>0.95369184800000006</v>
      </c>
      <c r="P30" s="4">
        <f t="shared" si="4"/>
        <v>0.97663252225000008</v>
      </c>
      <c r="Q30" s="4">
        <f t="shared" si="5"/>
        <v>0.98271446849999999</v>
      </c>
      <c r="R30" s="4">
        <f t="shared" si="6"/>
        <v>0.98879641475000002</v>
      </c>
      <c r="S30" s="4">
        <f t="shared" si="7"/>
        <v>0.99590268879999999</v>
      </c>
      <c r="T30" s="4">
        <f t="shared" si="8"/>
        <v>0.99692701660000005</v>
      </c>
      <c r="U30" s="4">
        <v>1</v>
      </c>
      <c r="V30" s="4">
        <v>1</v>
      </c>
      <c r="W30" s="4">
        <f t="shared" si="11"/>
        <v>1</v>
      </c>
      <c r="X30" s="4">
        <f t="shared" si="12"/>
        <v>1</v>
      </c>
      <c r="Y30" s="4">
        <f t="shared" si="13"/>
        <v>1</v>
      </c>
      <c r="Z30" s="4">
        <f t="shared" si="14"/>
        <v>1</v>
      </c>
      <c r="AA30" s="4">
        <f t="shared" si="15"/>
        <v>1</v>
      </c>
      <c r="AB30" s="4">
        <f t="shared" si="16"/>
        <v>1</v>
      </c>
      <c r="AC30" s="4">
        <f t="shared" si="17"/>
        <v>1</v>
      </c>
      <c r="AD30" s="4">
        <f t="shared" si="18"/>
        <v>1</v>
      </c>
      <c r="AE30" s="4">
        <f t="shared" si="19"/>
        <v>1</v>
      </c>
    </row>
    <row r="31" spans="4:31" x14ac:dyDescent="0.5">
      <c r="D31" s="3">
        <v>7.3000000000000001E-3</v>
      </c>
      <c r="E31">
        <v>0.82202304737515997</v>
      </c>
      <c r="F31">
        <v>0.89948783600000004</v>
      </c>
      <c r="G31">
        <v>0.95838668400000004</v>
      </c>
      <c r="H31">
        <v>0.98655569799999998</v>
      </c>
      <c r="I31" s="4">
        <v>1</v>
      </c>
      <c r="J31" s="4">
        <v>1</v>
      </c>
      <c r="L31" s="4">
        <f t="shared" si="0"/>
        <v>0.84784464358344003</v>
      </c>
      <c r="M31" s="4">
        <f t="shared" si="1"/>
        <v>0.87366623979171998</v>
      </c>
      <c r="N31" s="4">
        <f t="shared" si="2"/>
        <v>0.91912078533333341</v>
      </c>
      <c r="O31" s="4">
        <f t="shared" si="3"/>
        <v>0.93875373466666667</v>
      </c>
      <c r="P31" s="4">
        <f t="shared" si="4"/>
        <v>0.96542893750000003</v>
      </c>
      <c r="Q31" s="4">
        <f t="shared" si="5"/>
        <v>0.97247119100000001</v>
      </c>
      <c r="R31" s="4">
        <f t="shared" si="6"/>
        <v>0.9795134445</v>
      </c>
      <c r="S31" s="4">
        <f t="shared" si="7"/>
        <v>0.98924455840000003</v>
      </c>
      <c r="T31" s="4">
        <f t="shared" si="8"/>
        <v>0.99193341879999997</v>
      </c>
      <c r="U31" s="4">
        <f t="shared" si="9"/>
        <v>0.99462227920000001</v>
      </c>
      <c r="V31" s="4">
        <f t="shared" si="10"/>
        <v>0.99731113959999995</v>
      </c>
      <c r="W31" s="4">
        <f t="shared" si="11"/>
        <v>1</v>
      </c>
      <c r="X31" s="4">
        <f t="shared" si="12"/>
        <v>1</v>
      </c>
      <c r="Y31" s="4">
        <f t="shared" si="13"/>
        <v>1</v>
      </c>
      <c r="Z31" s="4">
        <f t="shared" si="14"/>
        <v>1</v>
      </c>
      <c r="AA31" s="4">
        <f t="shared" si="15"/>
        <v>1</v>
      </c>
      <c r="AB31" s="4">
        <f t="shared" si="16"/>
        <v>1</v>
      </c>
      <c r="AC31" s="4">
        <f t="shared" si="17"/>
        <v>1</v>
      </c>
      <c r="AD31" s="4">
        <f t="shared" si="18"/>
        <v>1</v>
      </c>
      <c r="AE31" s="4">
        <f t="shared" si="19"/>
        <v>1</v>
      </c>
    </row>
    <row r="32" spans="4:31" x14ac:dyDescent="0.5">
      <c r="D32" s="3">
        <v>8.2000000000000007E-3</v>
      </c>
      <c r="E32">
        <v>0.79001280409731101</v>
      </c>
      <c r="F32">
        <v>0.875800256</v>
      </c>
      <c r="G32">
        <v>0.94430217699999996</v>
      </c>
      <c r="H32">
        <v>0.98015364900000002</v>
      </c>
      <c r="I32">
        <v>0.99935979500000005</v>
      </c>
      <c r="J32" s="4">
        <v>1</v>
      </c>
      <c r="L32" s="4">
        <f t="shared" si="0"/>
        <v>0.81860862139820734</v>
      </c>
      <c r="M32" s="4">
        <f t="shared" si="1"/>
        <v>0.84720443869910367</v>
      </c>
      <c r="N32" s="4">
        <f t="shared" si="2"/>
        <v>0.89863422966666662</v>
      </c>
      <c r="O32" s="4">
        <f t="shared" si="3"/>
        <v>0.92146820333333335</v>
      </c>
      <c r="P32" s="4">
        <f t="shared" si="4"/>
        <v>0.95326504499999998</v>
      </c>
      <c r="Q32" s="4">
        <f t="shared" si="5"/>
        <v>0.96222791299999999</v>
      </c>
      <c r="R32" s="4">
        <f t="shared" si="6"/>
        <v>0.971190781</v>
      </c>
      <c r="S32" s="4">
        <f t="shared" si="7"/>
        <v>0.98399487819999998</v>
      </c>
      <c r="T32" s="4">
        <f t="shared" si="8"/>
        <v>0.98783610740000005</v>
      </c>
      <c r="U32" s="4">
        <f t="shared" si="9"/>
        <v>0.99167733660000001</v>
      </c>
      <c r="V32" s="4">
        <f t="shared" si="10"/>
        <v>0.99551856580000009</v>
      </c>
      <c r="W32" s="4">
        <f t="shared" si="11"/>
        <v>0.99942381550000003</v>
      </c>
      <c r="X32" s="4">
        <f t="shared" si="12"/>
        <v>0.99948783600000002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</row>
    <row r="33" spans="4:31" x14ac:dyDescent="0.5">
      <c r="D33" s="3">
        <v>9.1000000000000004E-3</v>
      </c>
      <c r="E33">
        <v>0.75608194622279101</v>
      </c>
      <c r="F33">
        <v>0.85211267599999996</v>
      </c>
      <c r="G33">
        <v>0.92637643999999997</v>
      </c>
      <c r="H33">
        <v>0.96927016600000004</v>
      </c>
      <c r="I33">
        <v>0.99359795100000003</v>
      </c>
      <c r="J33" s="4">
        <v>1</v>
      </c>
      <c r="L33" s="4">
        <f t="shared" si="0"/>
        <v>0.78809218948186066</v>
      </c>
      <c r="M33" s="4">
        <f t="shared" si="1"/>
        <v>0.82010243274093031</v>
      </c>
      <c r="N33" s="4">
        <f t="shared" si="2"/>
        <v>0.87686726399999992</v>
      </c>
      <c r="O33" s="4">
        <f t="shared" si="3"/>
        <v>0.901621852</v>
      </c>
      <c r="P33" s="4">
        <f t="shared" si="4"/>
        <v>0.93709987149999996</v>
      </c>
      <c r="Q33" s="4">
        <f t="shared" si="5"/>
        <v>0.94782330300000006</v>
      </c>
      <c r="R33" s="4">
        <f t="shared" si="6"/>
        <v>0.95854673450000005</v>
      </c>
      <c r="S33" s="4">
        <f t="shared" si="7"/>
        <v>0.97413572300000006</v>
      </c>
      <c r="T33" s="4">
        <f t="shared" si="8"/>
        <v>0.97900128000000008</v>
      </c>
      <c r="U33" s="4">
        <f t="shared" si="9"/>
        <v>0.98386683699999999</v>
      </c>
      <c r="V33" s="4">
        <f t="shared" si="10"/>
        <v>0.98873239400000001</v>
      </c>
      <c r="W33" s="4">
        <f t="shared" si="11"/>
        <v>0.99423815589999998</v>
      </c>
      <c r="X33" s="4">
        <f t="shared" si="12"/>
        <v>0.99487836080000003</v>
      </c>
      <c r="Y33" s="4">
        <f t="shared" si="13"/>
        <v>0.99551856570000008</v>
      </c>
      <c r="Z33" s="4">
        <f t="shared" si="14"/>
        <v>0.99615877060000002</v>
      </c>
      <c r="AA33" s="4">
        <f t="shared" si="15"/>
        <v>0.99679897549999996</v>
      </c>
      <c r="AB33" s="4">
        <f t="shared" si="16"/>
        <v>0.99743918040000001</v>
      </c>
      <c r="AC33" s="4">
        <v>1</v>
      </c>
      <c r="AD33" s="4">
        <v>1</v>
      </c>
      <c r="AE33" s="4">
        <v>1</v>
      </c>
    </row>
    <row r="34" spans="4:31" x14ac:dyDescent="0.5">
      <c r="D34" s="3">
        <v>0.01</v>
      </c>
      <c r="E34">
        <v>0.71382842509602995</v>
      </c>
      <c r="F34">
        <v>0.82202304699999995</v>
      </c>
      <c r="G34">
        <v>0.90717029400000004</v>
      </c>
      <c r="H34">
        <v>0.95582586400000003</v>
      </c>
      <c r="I34">
        <v>0.98655569799999998</v>
      </c>
      <c r="J34">
        <v>0.99807938500000004</v>
      </c>
      <c r="L34" s="4">
        <f t="shared" si="0"/>
        <v>0.74989329906401991</v>
      </c>
      <c r="M34" s="4">
        <f t="shared" si="1"/>
        <v>0.78595817303200999</v>
      </c>
      <c r="N34" s="4">
        <f t="shared" si="2"/>
        <v>0.85040546266666661</v>
      </c>
      <c r="O34" s="4">
        <f t="shared" si="3"/>
        <v>0.87878787833333338</v>
      </c>
      <c r="P34" s="4">
        <f t="shared" si="4"/>
        <v>0.91933418649999998</v>
      </c>
      <c r="Q34" s="4">
        <f t="shared" si="5"/>
        <v>0.93149807900000003</v>
      </c>
      <c r="R34" s="4">
        <f t="shared" si="6"/>
        <v>0.94366197150000009</v>
      </c>
      <c r="S34" s="4">
        <f t="shared" si="7"/>
        <v>0.96197183080000004</v>
      </c>
      <c r="T34" s="4">
        <f t="shared" si="8"/>
        <v>0.96811779760000005</v>
      </c>
      <c r="U34" s="4">
        <f t="shared" si="9"/>
        <v>0.97426376439999995</v>
      </c>
      <c r="V34" s="4">
        <f t="shared" si="10"/>
        <v>0.98040973119999997</v>
      </c>
      <c r="W34" s="4">
        <f t="shared" si="11"/>
        <v>0.9877080667</v>
      </c>
      <c r="X34" s="4">
        <f t="shared" si="12"/>
        <v>0.98886043540000002</v>
      </c>
      <c r="Y34" s="4">
        <f t="shared" si="13"/>
        <v>0.99001280410000003</v>
      </c>
      <c r="Z34" s="4">
        <f t="shared" si="14"/>
        <v>0.99116517280000005</v>
      </c>
      <c r="AA34" s="4">
        <f t="shared" si="15"/>
        <v>0.99231754150000007</v>
      </c>
      <c r="AB34" s="4">
        <f t="shared" si="16"/>
        <v>0.99346991019999997</v>
      </c>
      <c r="AC34" s="4">
        <f t="shared" si="17"/>
        <v>0.99462227889999999</v>
      </c>
      <c r="AD34" s="4">
        <f t="shared" si="18"/>
        <v>0.99577464760000001</v>
      </c>
      <c r="AE34" s="4">
        <f t="shared" si="19"/>
        <v>0.99692701630000002</v>
      </c>
    </row>
    <row r="35" spans="4:31" x14ac:dyDescent="0.5">
      <c r="D35" s="3">
        <v>1.9000000000000003E-2</v>
      </c>
      <c r="E35">
        <v>0.66965428937259897</v>
      </c>
      <c r="F35">
        <v>0.79001280399999996</v>
      </c>
      <c r="G35">
        <v>0.87900128</v>
      </c>
      <c r="H35">
        <v>0.94174135699999995</v>
      </c>
      <c r="I35">
        <v>0.97823303500000003</v>
      </c>
      <c r="J35">
        <v>0.99615877100000005</v>
      </c>
      <c r="L35" s="4">
        <f t="shared" si="0"/>
        <v>0.70977379424839926</v>
      </c>
      <c r="M35" s="4">
        <f t="shared" si="1"/>
        <v>0.74989329912419966</v>
      </c>
      <c r="N35" s="4">
        <f t="shared" si="2"/>
        <v>0.81967562933333327</v>
      </c>
      <c r="O35" s="4">
        <f t="shared" si="3"/>
        <v>0.84933845466666669</v>
      </c>
      <c r="P35" s="4">
        <f t="shared" si="4"/>
        <v>0.89468629924999998</v>
      </c>
      <c r="Q35" s="4">
        <f t="shared" si="5"/>
        <v>0.91037131849999997</v>
      </c>
      <c r="R35" s="4">
        <f t="shared" si="6"/>
        <v>0.92605633774999996</v>
      </c>
      <c r="S35" s="4">
        <f t="shared" si="7"/>
        <v>0.94903969259999998</v>
      </c>
      <c r="T35" s="4">
        <f t="shared" si="8"/>
        <v>0.95633802820000002</v>
      </c>
      <c r="U35" s="4">
        <f t="shared" si="9"/>
        <v>0.96363636379999995</v>
      </c>
      <c r="V35" s="4">
        <f t="shared" si="10"/>
        <v>0.97093469939999999</v>
      </c>
      <c r="W35" s="4">
        <f t="shared" si="11"/>
        <v>0.98002560859999999</v>
      </c>
      <c r="X35" s="4">
        <f t="shared" si="12"/>
        <v>0.98181818220000006</v>
      </c>
      <c r="Y35" s="4">
        <f t="shared" si="13"/>
        <v>0.98361075580000001</v>
      </c>
      <c r="Z35" s="4">
        <f t="shared" si="14"/>
        <v>0.98540332940000008</v>
      </c>
      <c r="AA35" s="4">
        <f t="shared" si="15"/>
        <v>0.98719590300000004</v>
      </c>
      <c r="AB35" s="4">
        <f t="shared" si="16"/>
        <v>0.9889884766</v>
      </c>
      <c r="AC35" s="4">
        <f t="shared" si="17"/>
        <v>0.99078105020000007</v>
      </c>
      <c r="AD35" s="4">
        <f t="shared" si="18"/>
        <v>0.99257362380000003</v>
      </c>
      <c r="AE35" s="4">
        <f t="shared" si="19"/>
        <v>0.9943661974000001</v>
      </c>
    </row>
    <row r="36" spans="4:31" x14ac:dyDescent="0.5">
      <c r="D36" s="3">
        <v>2.8000000000000004E-2</v>
      </c>
      <c r="E36">
        <v>0.62548015364916698</v>
      </c>
      <c r="F36">
        <v>0.75736235600000001</v>
      </c>
      <c r="G36">
        <v>0.85147247100000001</v>
      </c>
      <c r="H36">
        <v>0.92445582599999998</v>
      </c>
      <c r="I36">
        <v>0.96862996199999996</v>
      </c>
      <c r="J36">
        <v>0.992317542</v>
      </c>
      <c r="L36" s="4">
        <f t="shared" si="0"/>
        <v>0.66944088776611133</v>
      </c>
      <c r="M36" s="4">
        <f t="shared" si="1"/>
        <v>0.71340162188305567</v>
      </c>
      <c r="N36" s="4">
        <f t="shared" si="2"/>
        <v>0.78873239433333331</v>
      </c>
      <c r="O36" s="4">
        <f t="shared" si="3"/>
        <v>0.82010243266666671</v>
      </c>
      <c r="P36" s="4">
        <f t="shared" si="4"/>
        <v>0.86971830974999997</v>
      </c>
      <c r="Q36" s="4">
        <f t="shared" si="5"/>
        <v>0.88796414850000005</v>
      </c>
      <c r="R36" s="4">
        <f t="shared" si="6"/>
        <v>0.90620998725000002</v>
      </c>
      <c r="S36" s="4">
        <f t="shared" si="7"/>
        <v>0.93329065319999993</v>
      </c>
      <c r="T36" s="4">
        <f t="shared" si="8"/>
        <v>0.94212548039999999</v>
      </c>
      <c r="U36" s="4">
        <f t="shared" si="9"/>
        <v>0.95096030759999994</v>
      </c>
      <c r="V36" s="4">
        <f t="shared" si="10"/>
        <v>0.9597951348</v>
      </c>
      <c r="W36" s="4">
        <f t="shared" si="11"/>
        <v>0.97099871999999998</v>
      </c>
      <c r="X36" s="4">
        <f t="shared" si="12"/>
        <v>0.97336747800000001</v>
      </c>
      <c r="Y36" s="4">
        <f t="shared" si="13"/>
        <v>0.97573623599999992</v>
      </c>
      <c r="Z36" s="4">
        <f t="shared" si="14"/>
        <v>0.97810499399999995</v>
      </c>
      <c r="AA36" s="4">
        <f t="shared" si="15"/>
        <v>0.98047375199999998</v>
      </c>
      <c r="AB36" s="4">
        <f t="shared" si="16"/>
        <v>0.98284251</v>
      </c>
      <c r="AC36" s="4">
        <f t="shared" si="17"/>
        <v>0.98521126800000003</v>
      </c>
      <c r="AD36" s="4">
        <f t="shared" si="18"/>
        <v>0.98758002599999994</v>
      </c>
      <c r="AE36" s="4">
        <f t="shared" si="19"/>
        <v>0.98994878399999997</v>
      </c>
    </row>
    <row r="37" spans="4:31" x14ac:dyDescent="0.5">
      <c r="D37" s="3">
        <v>3.7000000000000005E-2</v>
      </c>
      <c r="E37">
        <v>0.581306017925736</v>
      </c>
      <c r="F37">
        <v>0.72599231799999997</v>
      </c>
      <c r="G37">
        <v>0.82138284299999997</v>
      </c>
      <c r="H37">
        <v>0.904609475</v>
      </c>
      <c r="I37">
        <v>0.95838668400000004</v>
      </c>
      <c r="J37">
        <v>0.98719590300000004</v>
      </c>
      <c r="L37" s="4">
        <f t="shared" si="0"/>
        <v>0.62953478461715728</v>
      </c>
      <c r="M37" s="4">
        <f t="shared" si="1"/>
        <v>0.67776355130857868</v>
      </c>
      <c r="N37" s="4">
        <f t="shared" si="2"/>
        <v>0.7577891596666666</v>
      </c>
      <c r="O37" s="4">
        <f t="shared" si="3"/>
        <v>0.78958600133333334</v>
      </c>
      <c r="P37" s="4">
        <f t="shared" si="4"/>
        <v>0.84218950100000001</v>
      </c>
      <c r="Q37" s="4">
        <f t="shared" si="5"/>
        <v>0.86299615899999993</v>
      </c>
      <c r="R37" s="4">
        <f t="shared" si="6"/>
        <v>0.88380281699999996</v>
      </c>
      <c r="S37" s="4">
        <f t="shared" si="7"/>
        <v>0.91536491679999998</v>
      </c>
      <c r="T37" s="4">
        <f t="shared" si="8"/>
        <v>0.92612035859999997</v>
      </c>
      <c r="U37" s="4">
        <f t="shared" si="9"/>
        <v>0.93687580040000007</v>
      </c>
      <c r="V37" s="4">
        <f t="shared" si="10"/>
        <v>0.94763124220000006</v>
      </c>
      <c r="W37" s="4">
        <f t="shared" si="11"/>
        <v>0.96126760590000004</v>
      </c>
      <c r="X37" s="4">
        <f t="shared" si="12"/>
        <v>0.96414852780000004</v>
      </c>
      <c r="Y37" s="4">
        <f t="shared" si="13"/>
        <v>0.96702944970000004</v>
      </c>
      <c r="Z37" s="4">
        <f t="shared" si="14"/>
        <v>0.96991037160000004</v>
      </c>
      <c r="AA37" s="4">
        <f t="shared" si="15"/>
        <v>0.97279129350000004</v>
      </c>
      <c r="AB37" s="4">
        <f t="shared" si="16"/>
        <v>0.97567221540000004</v>
      </c>
      <c r="AC37" s="4">
        <f t="shared" si="17"/>
        <v>0.97855313730000004</v>
      </c>
      <c r="AD37" s="4">
        <f t="shared" si="18"/>
        <v>0.98143405920000004</v>
      </c>
      <c r="AE37" s="4">
        <f t="shared" si="19"/>
        <v>0.98431498110000004</v>
      </c>
    </row>
    <row r="38" spans="4:31" x14ac:dyDescent="0.5">
      <c r="D38" s="3">
        <v>4.6000000000000006E-2</v>
      </c>
      <c r="E38">
        <v>0.53329065300896195</v>
      </c>
      <c r="F38">
        <v>0.68950064</v>
      </c>
      <c r="G38">
        <v>0.78873239399999995</v>
      </c>
      <c r="H38">
        <v>0.88156210000000002</v>
      </c>
      <c r="I38">
        <v>0.94622279099999995</v>
      </c>
      <c r="J38">
        <v>0.98079385399999996</v>
      </c>
      <c r="L38" s="4">
        <f t="shared" si="0"/>
        <v>0.58536064867264126</v>
      </c>
      <c r="M38" s="4">
        <f t="shared" si="1"/>
        <v>0.63743064433632068</v>
      </c>
      <c r="N38" s="4">
        <f t="shared" si="2"/>
        <v>0.72257789133333328</v>
      </c>
      <c r="O38" s="4">
        <f t="shared" si="3"/>
        <v>0.75565514266666667</v>
      </c>
      <c r="P38" s="4">
        <f t="shared" si="4"/>
        <v>0.81193982049999991</v>
      </c>
      <c r="Q38" s="4">
        <f t="shared" si="5"/>
        <v>0.83514724699999998</v>
      </c>
      <c r="R38" s="4">
        <f t="shared" si="6"/>
        <v>0.85835467350000005</v>
      </c>
      <c r="S38" s="4">
        <f t="shared" si="7"/>
        <v>0.89449423819999996</v>
      </c>
      <c r="T38" s="4">
        <f t="shared" si="8"/>
        <v>0.90742637640000001</v>
      </c>
      <c r="U38" s="4">
        <f t="shared" si="9"/>
        <v>0.92035851459999996</v>
      </c>
      <c r="V38" s="4">
        <f t="shared" si="10"/>
        <v>0.93329065280000001</v>
      </c>
      <c r="W38" s="4">
        <f t="shared" si="11"/>
        <v>0.94967989729999991</v>
      </c>
      <c r="X38" s="4">
        <f t="shared" si="12"/>
        <v>0.95313700359999998</v>
      </c>
      <c r="Y38" s="4">
        <f t="shared" si="13"/>
        <v>0.95659410989999993</v>
      </c>
      <c r="Z38" s="4">
        <f t="shared" si="14"/>
        <v>0.9600512162</v>
      </c>
      <c r="AA38" s="4">
        <f t="shared" si="15"/>
        <v>0.96350832249999996</v>
      </c>
      <c r="AB38" s="4">
        <f t="shared" si="16"/>
        <v>0.96696542879999992</v>
      </c>
      <c r="AC38" s="4">
        <f t="shared" si="17"/>
        <v>0.97042253509999998</v>
      </c>
      <c r="AD38" s="4">
        <f t="shared" si="18"/>
        <v>0.97387964139999994</v>
      </c>
      <c r="AE38" s="4">
        <f t="shared" si="19"/>
        <v>0.97733674770000001</v>
      </c>
    </row>
    <row r="39" spans="4:31" x14ac:dyDescent="0.5">
      <c r="D39" s="3">
        <v>5.5000000000000007E-2</v>
      </c>
      <c r="E39">
        <v>0.485915492957746</v>
      </c>
      <c r="F39">
        <v>0.64852752899999999</v>
      </c>
      <c r="G39">
        <v>0.751600512</v>
      </c>
      <c r="H39">
        <v>0.85211267599999996</v>
      </c>
      <c r="I39">
        <v>0.93341869399999999</v>
      </c>
      <c r="J39">
        <v>0.971190781</v>
      </c>
      <c r="L39" s="4">
        <f t="shared" si="0"/>
        <v>0.5401195049718307</v>
      </c>
      <c r="M39" s="4">
        <f t="shared" si="1"/>
        <v>0.59432351698591535</v>
      </c>
      <c r="N39" s="4">
        <f t="shared" si="2"/>
        <v>0.68288519000000003</v>
      </c>
      <c r="O39" s="4">
        <f t="shared" si="3"/>
        <v>0.71724285099999996</v>
      </c>
      <c r="P39" s="4">
        <f t="shared" si="4"/>
        <v>0.77672855299999999</v>
      </c>
      <c r="Q39" s="4">
        <f t="shared" si="5"/>
        <v>0.80185659399999998</v>
      </c>
      <c r="R39" s="4">
        <f t="shared" si="6"/>
        <v>0.82698463499999997</v>
      </c>
      <c r="S39" s="4">
        <f t="shared" si="7"/>
        <v>0.86837387960000001</v>
      </c>
      <c r="T39" s="4">
        <f t="shared" si="8"/>
        <v>0.88463508319999995</v>
      </c>
      <c r="U39" s="4">
        <f t="shared" si="9"/>
        <v>0.9008962868</v>
      </c>
      <c r="V39" s="4">
        <f t="shared" si="10"/>
        <v>0.91715749039999994</v>
      </c>
      <c r="W39" s="4">
        <f t="shared" si="11"/>
        <v>0.93719590269999997</v>
      </c>
      <c r="X39" s="4">
        <f t="shared" si="12"/>
        <v>0.94097311139999995</v>
      </c>
      <c r="Y39" s="4">
        <f t="shared" si="13"/>
        <v>0.94475032010000004</v>
      </c>
      <c r="Z39" s="4">
        <f t="shared" si="14"/>
        <v>0.94852752880000002</v>
      </c>
      <c r="AA39" s="4">
        <f t="shared" si="15"/>
        <v>0.9523047375</v>
      </c>
      <c r="AB39" s="4">
        <f t="shared" si="16"/>
        <v>0.95608194619999998</v>
      </c>
      <c r="AC39" s="4">
        <f t="shared" si="17"/>
        <v>0.95985915489999996</v>
      </c>
      <c r="AD39" s="4">
        <f t="shared" si="18"/>
        <v>0.96363636360000005</v>
      </c>
      <c r="AE39" s="4">
        <f t="shared" si="19"/>
        <v>0.96741357230000002</v>
      </c>
    </row>
    <row r="40" spans="4:31" x14ac:dyDescent="0.5">
      <c r="D40" s="3">
        <v>6.4000000000000001E-2</v>
      </c>
      <c r="E40">
        <v>0.43405889884763099</v>
      </c>
      <c r="F40">
        <v>0.60499359799999997</v>
      </c>
      <c r="G40">
        <v>0.71318822000000004</v>
      </c>
      <c r="H40">
        <v>0.82138284299999997</v>
      </c>
      <c r="I40">
        <v>0.91613316300000003</v>
      </c>
      <c r="J40">
        <v>0.96094750299999998</v>
      </c>
      <c r="L40" s="4">
        <f t="shared" si="0"/>
        <v>0.49103713189842063</v>
      </c>
      <c r="M40" s="4">
        <f t="shared" si="1"/>
        <v>0.54801536494921033</v>
      </c>
      <c r="N40" s="4">
        <f t="shared" si="2"/>
        <v>0.64105847199999999</v>
      </c>
      <c r="O40" s="4">
        <f t="shared" si="3"/>
        <v>0.67712334600000001</v>
      </c>
      <c r="P40" s="4">
        <f t="shared" si="4"/>
        <v>0.74023687574999997</v>
      </c>
      <c r="Q40" s="4">
        <f t="shared" si="5"/>
        <v>0.76728553150000001</v>
      </c>
      <c r="R40" s="4">
        <f t="shared" si="6"/>
        <v>0.79433418725000005</v>
      </c>
      <c r="S40" s="4">
        <f t="shared" si="7"/>
        <v>0.84033290699999996</v>
      </c>
      <c r="T40" s="4">
        <f t="shared" si="8"/>
        <v>0.85928297099999995</v>
      </c>
      <c r="U40" s="4">
        <f t="shared" si="9"/>
        <v>0.87823303500000005</v>
      </c>
      <c r="V40" s="4">
        <f t="shared" si="10"/>
        <v>0.89718309900000004</v>
      </c>
      <c r="W40" s="4">
        <f t="shared" si="11"/>
        <v>0.92061459700000003</v>
      </c>
      <c r="X40" s="4">
        <f t="shared" si="12"/>
        <v>0.92509603100000004</v>
      </c>
      <c r="Y40" s="4">
        <f t="shared" si="13"/>
        <v>0.92957746500000005</v>
      </c>
      <c r="Z40" s="4">
        <f t="shared" si="14"/>
        <v>0.93405889900000005</v>
      </c>
      <c r="AA40" s="4">
        <f t="shared" si="15"/>
        <v>0.93854033299999995</v>
      </c>
      <c r="AB40" s="4">
        <f t="shared" si="16"/>
        <v>0.94302176699999996</v>
      </c>
      <c r="AC40" s="4">
        <f t="shared" si="17"/>
        <v>0.94750320099999996</v>
      </c>
      <c r="AD40" s="4">
        <f t="shared" si="18"/>
        <v>0.95198463499999997</v>
      </c>
      <c r="AE40" s="4">
        <f t="shared" si="19"/>
        <v>0.95646606899999997</v>
      </c>
    </row>
    <row r="41" spans="4:31" x14ac:dyDescent="0.5">
      <c r="D41" s="3">
        <v>7.3000000000000009E-2</v>
      </c>
      <c r="E41">
        <v>0.386043533930858</v>
      </c>
      <c r="F41">
        <v>0.55569782300000004</v>
      </c>
      <c r="G41">
        <v>0.67157490399999997</v>
      </c>
      <c r="H41">
        <v>0.78873239399999995</v>
      </c>
      <c r="I41">
        <v>0.89756722200000005</v>
      </c>
      <c r="J41">
        <v>0.95006402000000001</v>
      </c>
      <c r="L41" s="4">
        <f t="shared" si="0"/>
        <v>0.44259496362057199</v>
      </c>
      <c r="M41" s="4">
        <f t="shared" si="1"/>
        <v>0.49914639331028604</v>
      </c>
      <c r="N41" s="4">
        <f t="shared" si="2"/>
        <v>0.59432351666666672</v>
      </c>
      <c r="O41" s="4">
        <f t="shared" si="3"/>
        <v>0.63294921033333329</v>
      </c>
      <c r="P41" s="4">
        <f t="shared" si="4"/>
        <v>0.70086427649999994</v>
      </c>
      <c r="Q41" s="4">
        <f t="shared" si="5"/>
        <v>0.73015364900000002</v>
      </c>
      <c r="R41" s="4">
        <f t="shared" si="6"/>
        <v>0.75944302149999998</v>
      </c>
      <c r="S41" s="4">
        <f t="shared" si="7"/>
        <v>0.81049935959999997</v>
      </c>
      <c r="T41" s="4">
        <f t="shared" si="8"/>
        <v>0.83226632519999999</v>
      </c>
      <c r="U41" s="4">
        <f t="shared" si="9"/>
        <v>0.85403329080000001</v>
      </c>
      <c r="V41" s="4">
        <f t="shared" si="10"/>
        <v>0.87580025640000003</v>
      </c>
      <c r="W41" s="4">
        <f t="shared" si="11"/>
        <v>0.90281690180000007</v>
      </c>
      <c r="X41" s="4">
        <f t="shared" si="12"/>
        <v>0.90806658160000009</v>
      </c>
      <c r="Y41" s="4">
        <f t="shared" si="13"/>
        <v>0.9133162614</v>
      </c>
      <c r="Z41" s="4">
        <f t="shared" si="14"/>
        <v>0.91856594120000001</v>
      </c>
      <c r="AA41" s="4">
        <f t="shared" si="15"/>
        <v>0.92381562100000003</v>
      </c>
      <c r="AB41" s="4">
        <f t="shared" si="16"/>
        <v>0.92906530080000005</v>
      </c>
      <c r="AC41" s="4">
        <f t="shared" si="17"/>
        <v>0.93431498060000007</v>
      </c>
      <c r="AD41" s="4">
        <f t="shared" si="18"/>
        <v>0.93956466039999997</v>
      </c>
      <c r="AE41" s="4">
        <f t="shared" si="19"/>
        <v>0.94481434019999999</v>
      </c>
    </row>
    <row r="42" spans="4:31" x14ac:dyDescent="0.5">
      <c r="D42" s="3">
        <v>8.2000000000000017E-2</v>
      </c>
      <c r="E42">
        <v>0.33994878361075498</v>
      </c>
      <c r="F42">
        <v>0.50896286800000001</v>
      </c>
      <c r="G42">
        <v>0.62804097299999995</v>
      </c>
      <c r="H42">
        <v>0.75288092200000001</v>
      </c>
      <c r="I42">
        <v>0.87644046099999995</v>
      </c>
      <c r="J42">
        <v>0.93597951300000004</v>
      </c>
      <c r="L42" s="4">
        <f t="shared" si="0"/>
        <v>0.39628681174050334</v>
      </c>
      <c r="M42" s="4">
        <f t="shared" si="1"/>
        <v>0.45262483987025165</v>
      </c>
      <c r="N42" s="4">
        <f t="shared" si="2"/>
        <v>0.54865556966666662</v>
      </c>
      <c r="O42" s="4">
        <f t="shared" si="3"/>
        <v>0.58834827133333334</v>
      </c>
      <c r="P42" s="4">
        <f t="shared" si="4"/>
        <v>0.65925096024999996</v>
      </c>
      <c r="Q42" s="4">
        <f t="shared" si="5"/>
        <v>0.69046094749999998</v>
      </c>
      <c r="R42" s="4">
        <f t="shared" si="6"/>
        <v>0.72167093474999999</v>
      </c>
      <c r="S42" s="4">
        <f t="shared" si="7"/>
        <v>0.7775928298</v>
      </c>
      <c r="T42" s="4">
        <f t="shared" si="8"/>
        <v>0.80230473759999998</v>
      </c>
      <c r="U42" s="4">
        <f t="shared" si="9"/>
        <v>0.82701664539999997</v>
      </c>
      <c r="V42" s="4">
        <f t="shared" si="10"/>
        <v>0.85172855319999996</v>
      </c>
      <c r="W42" s="4">
        <f t="shared" si="11"/>
        <v>0.8823943662</v>
      </c>
      <c r="X42" s="4">
        <f t="shared" si="12"/>
        <v>0.88834827139999994</v>
      </c>
      <c r="Y42" s="4">
        <f t="shared" si="13"/>
        <v>0.8943021766</v>
      </c>
      <c r="Z42" s="4">
        <f t="shared" si="14"/>
        <v>0.90025608179999994</v>
      </c>
      <c r="AA42" s="4">
        <f t="shared" si="15"/>
        <v>0.90620998699999999</v>
      </c>
      <c r="AB42" s="4">
        <f t="shared" si="16"/>
        <v>0.91216389220000005</v>
      </c>
      <c r="AC42" s="4">
        <f t="shared" si="17"/>
        <v>0.91811779739999999</v>
      </c>
      <c r="AD42" s="4">
        <f t="shared" si="18"/>
        <v>0.92407170260000004</v>
      </c>
      <c r="AE42" s="4">
        <f t="shared" si="19"/>
        <v>0.93002560779999999</v>
      </c>
    </row>
    <row r="43" spans="4:31" x14ac:dyDescent="0.5">
      <c r="D43" s="3">
        <v>9.1000000000000025E-2</v>
      </c>
      <c r="E43">
        <v>0.29577464788732399</v>
      </c>
      <c r="F43">
        <v>0.45902688899999999</v>
      </c>
      <c r="G43">
        <v>0.58450704200000003</v>
      </c>
      <c r="H43">
        <v>0.71702944899999999</v>
      </c>
      <c r="I43">
        <v>0.85083226599999995</v>
      </c>
      <c r="J43">
        <v>0.91933418700000002</v>
      </c>
      <c r="L43" s="4">
        <f t="shared" si="0"/>
        <v>0.35019206159154931</v>
      </c>
      <c r="M43" s="4">
        <f t="shared" si="1"/>
        <v>0.40460947529577468</v>
      </c>
      <c r="N43" s="4">
        <f t="shared" si="2"/>
        <v>0.50085360666666667</v>
      </c>
      <c r="O43" s="4">
        <f t="shared" si="3"/>
        <v>0.54268032433333335</v>
      </c>
      <c r="P43" s="4">
        <f t="shared" si="4"/>
        <v>0.61763764374999996</v>
      </c>
      <c r="Q43" s="4">
        <f t="shared" si="5"/>
        <v>0.65076824550000001</v>
      </c>
      <c r="R43" s="4">
        <f t="shared" si="6"/>
        <v>0.68389884725000005</v>
      </c>
      <c r="S43" s="4">
        <f t="shared" si="7"/>
        <v>0.74379001239999998</v>
      </c>
      <c r="T43" s="4">
        <f t="shared" si="8"/>
        <v>0.77055057579999997</v>
      </c>
      <c r="U43" s="4">
        <f t="shared" si="9"/>
        <v>0.79731113919999996</v>
      </c>
      <c r="V43" s="4">
        <f t="shared" si="10"/>
        <v>0.82407170259999996</v>
      </c>
      <c r="W43" s="4">
        <f t="shared" si="11"/>
        <v>0.85768245809999999</v>
      </c>
      <c r="X43" s="4">
        <f t="shared" si="12"/>
        <v>0.86453265019999992</v>
      </c>
      <c r="Y43" s="4">
        <f t="shared" si="13"/>
        <v>0.87138284229999996</v>
      </c>
      <c r="Z43" s="4">
        <f t="shared" si="14"/>
        <v>0.8782330344</v>
      </c>
      <c r="AA43" s="4">
        <f t="shared" si="15"/>
        <v>0.88508322649999993</v>
      </c>
      <c r="AB43" s="4">
        <f t="shared" si="16"/>
        <v>0.89193341859999997</v>
      </c>
      <c r="AC43" s="4">
        <f t="shared" si="17"/>
        <v>0.89878361070000001</v>
      </c>
      <c r="AD43" s="4">
        <f t="shared" si="18"/>
        <v>0.90563380280000005</v>
      </c>
      <c r="AE43" s="4">
        <f t="shared" si="19"/>
        <v>0.91248399489999998</v>
      </c>
    </row>
    <row r="44" spans="4:31" x14ac:dyDescent="0.5">
      <c r="D44" s="3">
        <v>0.10000000000000003</v>
      </c>
      <c r="E44">
        <v>0.25864276568501898</v>
      </c>
      <c r="F44">
        <v>0.41549295800000002</v>
      </c>
      <c r="G44">
        <v>0.54161331599999996</v>
      </c>
      <c r="H44">
        <v>0.68053777199999999</v>
      </c>
      <c r="I44">
        <v>0.82202304699999995</v>
      </c>
      <c r="J44">
        <v>0.90012804099999999</v>
      </c>
      <c r="L44" s="4">
        <f t="shared" si="0"/>
        <v>0.31092616312334598</v>
      </c>
      <c r="M44" s="4">
        <f t="shared" si="1"/>
        <v>0.36320956056167297</v>
      </c>
      <c r="N44" s="4">
        <f t="shared" si="2"/>
        <v>0.45753307733333332</v>
      </c>
      <c r="O44" s="4">
        <f t="shared" si="3"/>
        <v>0.49957319666666666</v>
      </c>
      <c r="P44" s="4">
        <f t="shared" si="4"/>
        <v>0.57634443000000002</v>
      </c>
      <c r="Q44" s="4">
        <f t="shared" si="5"/>
        <v>0.61107554399999997</v>
      </c>
      <c r="R44" s="4">
        <f t="shared" si="6"/>
        <v>0.64580665800000003</v>
      </c>
      <c r="S44" s="4">
        <f t="shared" si="7"/>
        <v>0.708834827</v>
      </c>
      <c r="T44" s="4">
        <f t="shared" si="8"/>
        <v>0.73713188200000002</v>
      </c>
      <c r="U44" s="4">
        <f t="shared" si="9"/>
        <v>0.76542893699999992</v>
      </c>
      <c r="V44" s="4">
        <f t="shared" si="10"/>
        <v>0.79372599199999994</v>
      </c>
      <c r="W44" s="4">
        <f t="shared" si="11"/>
        <v>0.82983354639999996</v>
      </c>
      <c r="X44" s="4">
        <f t="shared" si="12"/>
        <v>0.83764404579999996</v>
      </c>
      <c r="Y44" s="4">
        <f t="shared" si="13"/>
        <v>0.84545454519999996</v>
      </c>
      <c r="Z44" s="4">
        <f t="shared" si="14"/>
        <v>0.85326504459999997</v>
      </c>
      <c r="AA44" s="4">
        <f t="shared" si="15"/>
        <v>0.86107554399999997</v>
      </c>
      <c r="AB44" s="4">
        <f t="shared" si="16"/>
        <v>0.86888604339999997</v>
      </c>
      <c r="AC44" s="4">
        <f t="shared" si="17"/>
        <v>0.87669654279999998</v>
      </c>
      <c r="AD44" s="4">
        <f t="shared" si="18"/>
        <v>0.88450704219999998</v>
      </c>
      <c r="AE44" s="4">
        <f t="shared" si="19"/>
        <v>0.89231754159999999</v>
      </c>
    </row>
    <row r="45" spans="4:31" x14ac:dyDescent="0.5">
      <c r="D45" s="3">
        <v>0.19000000000000003</v>
      </c>
      <c r="E45">
        <v>0.21959026888604299</v>
      </c>
      <c r="F45">
        <v>0.36747759299999999</v>
      </c>
      <c r="G45">
        <v>0.5</v>
      </c>
      <c r="H45">
        <v>0.64020486600000004</v>
      </c>
      <c r="I45">
        <v>0.79001280399999996</v>
      </c>
      <c r="J45">
        <v>0.87772087099999996</v>
      </c>
      <c r="L45" s="4">
        <f t="shared" si="0"/>
        <v>0.26888604359069534</v>
      </c>
      <c r="M45" s="4">
        <f t="shared" si="1"/>
        <v>0.31818181829534764</v>
      </c>
      <c r="N45" s="4">
        <f t="shared" si="2"/>
        <v>0.41165172866666666</v>
      </c>
      <c r="O45" s="4">
        <f t="shared" si="3"/>
        <v>0.45582586433333333</v>
      </c>
      <c r="P45" s="4">
        <f t="shared" si="4"/>
        <v>0.53505121649999998</v>
      </c>
      <c r="Q45" s="4">
        <f t="shared" si="5"/>
        <v>0.57010243299999996</v>
      </c>
      <c r="R45" s="4">
        <f t="shared" si="6"/>
        <v>0.60515364950000006</v>
      </c>
      <c r="S45" s="4">
        <f t="shared" si="7"/>
        <v>0.67016645360000004</v>
      </c>
      <c r="T45" s="4">
        <f t="shared" si="8"/>
        <v>0.70012804120000005</v>
      </c>
      <c r="U45" s="4">
        <f t="shared" si="9"/>
        <v>0.73008962879999995</v>
      </c>
      <c r="V45" s="4">
        <f t="shared" si="10"/>
        <v>0.76005121639999995</v>
      </c>
      <c r="W45" s="4">
        <f t="shared" si="11"/>
        <v>0.79878361069999992</v>
      </c>
      <c r="X45" s="4">
        <f t="shared" si="12"/>
        <v>0.8075544174</v>
      </c>
      <c r="Y45" s="4">
        <f t="shared" si="13"/>
        <v>0.81632522409999997</v>
      </c>
      <c r="Z45" s="4">
        <f t="shared" si="14"/>
        <v>0.82509603079999994</v>
      </c>
      <c r="AA45" s="4">
        <f t="shared" si="15"/>
        <v>0.83386683750000001</v>
      </c>
      <c r="AB45" s="4">
        <f t="shared" si="16"/>
        <v>0.84263764419999998</v>
      </c>
      <c r="AC45" s="4">
        <f t="shared" si="17"/>
        <v>0.85140845089999995</v>
      </c>
      <c r="AD45" s="4">
        <f t="shared" si="18"/>
        <v>0.86017925759999991</v>
      </c>
      <c r="AE45" s="4">
        <f t="shared" si="19"/>
        <v>0.86895006429999999</v>
      </c>
    </row>
    <row r="46" spans="4:31" x14ac:dyDescent="0.5">
      <c r="D46" s="3">
        <v>0.28000000000000003</v>
      </c>
      <c r="E46">
        <v>0.18693982074263699</v>
      </c>
      <c r="F46">
        <v>0.32522407199999998</v>
      </c>
      <c r="G46">
        <v>0.45710627399999998</v>
      </c>
      <c r="H46">
        <v>0.60051216399999996</v>
      </c>
      <c r="I46">
        <v>0.75288092200000001</v>
      </c>
      <c r="J46">
        <v>0.85339308599999997</v>
      </c>
      <c r="L46" s="4">
        <f t="shared" si="0"/>
        <v>0.23303457116175799</v>
      </c>
      <c r="M46" s="4">
        <f t="shared" si="1"/>
        <v>0.279129321580879</v>
      </c>
      <c r="N46" s="4">
        <f t="shared" si="2"/>
        <v>0.36918480599999998</v>
      </c>
      <c r="O46" s="4">
        <f t="shared" si="3"/>
        <v>0.41314553999999998</v>
      </c>
      <c r="P46" s="4">
        <f t="shared" si="4"/>
        <v>0.49295774649999996</v>
      </c>
      <c r="Q46" s="4">
        <f t="shared" si="5"/>
        <v>0.528809219</v>
      </c>
      <c r="R46" s="4">
        <f t="shared" si="6"/>
        <v>0.56466069149999998</v>
      </c>
      <c r="S46" s="4">
        <f t="shared" si="7"/>
        <v>0.63098591559999995</v>
      </c>
      <c r="T46" s="4">
        <f t="shared" si="8"/>
        <v>0.66145966719999993</v>
      </c>
      <c r="U46" s="4">
        <f t="shared" si="9"/>
        <v>0.69193341879999992</v>
      </c>
      <c r="V46" s="4">
        <f t="shared" si="10"/>
        <v>0.72240717040000002</v>
      </c>
      <c r="W46" s="4">
        <f t="shared" si="11"/>
        <v>0.76293213839999996</v>
      </c>
      <c r="X46" s="4">
        <f t="shared" si="12"/>
        <v>0.77298335480000002</v>
      </c>
      <c r="Y46" s="4">
        <f t="shared" si="13"/>
        <v>0.78303457119999997</v>
      </c>
      <c r="Z46" s="4">
        <f t="shared" si="14"/>
        <v>0.79308578760000004</v>
      </c>
      <c r="AA46" s="4">
        <f t="shared" si="15"/>
        <v>0.80313700399999999</v>
      </c>
      <c r="AB46" s="4">
        <f t="shared" si="16"/>
        <v>0.81318822039999994</v>
      </c>
      <c r="AC46" s="4">
        <f t="shared" si="17"/>
        <v>0.8232394368</v>
      </c>
      <c r="AD46" s="4">
        <f t="shared" si="18"/>
        <v>0.83329065319999995</v>
      </c>
      <c r="AE46" s="4">
        <f t="shared" si="19"/>
        <v>0.8433418695999999</v>
      </c>
    </row>
    <row r="47" spans="4:31" x14ac:dyDescent="0.5">
      <c r="D47" s="3">
        <v>0.37</v>
      </c>
      <c r="E47">
        <v>0.15877080665813001</v>
      </c>
      <c r="F47">
        <v>0.28681178000000002</v>
      </c>
      <c r="G47">
        <v>0.41485275300000002</v>
      </c>
      <c r="H47">
        <v>0.55633802799999998</v>
      </c>
      <c r="I47">
        <v>0.71254801499999998</v>
      </c>
      <c r="J47">
        <v>0.82202304699999995</v>
      </c>
      <c r="L47" s="4">
        <f t="shared" si="0"/>
        <v>0.20145113110542001</v>
      </c>
      <c r="M47" s="4">
        <f t="shared" si="1"/>
        <v>0.24413145555271001</v>
      </c>
      <c r="N47" s="4">
        <f t="shared" si="2"/>
        <v>0.32949210433333337</v>
      </c>
      <c r="O47" s="4">
        <f t="shared" si="3"/>
        <v>0.37217242866666667</v>
      </c>
      <c r="P47" s="4">
        <f t="shared" si="4"/>
        <v>0.45022407175000001</v>
      </c>
      <c r="Q47" s="4">
        <f t="shared" si="5"/>
        <v>0.4855953905</v>
      </c>
      <c r="R47" s="4">
        <f t="shared" si="6"/>
        <v>0.52096670924999999</v>
      </c>
      <c r="S47" s="4">
        <f t="shared" si="7"/>
        <v>0.58758002539999998</v>
      </c>
      <c r="T47" s="4">
        <f t="shared" si="8"/>
        <v>0.61882202279999998</v>
      </c>
      <c r="U47" s="4">
        <f t="shared" si="9"/>
        <v>0.65006402019999998</v>
      </c>
      <c r="V47" s="4">
        <f t="shared" si="10"/>
        <v>0.68130601759999998</v>
      </c>
      <c r="W47" s="4">
        <f t="shared" si="11"/>
        <v>0.72349551820000002</v>
      </c>
      <c r="X47" s="4">
        <f t="shared" si="12"/>
        <v>0.73444302139999995</v>
      </c>
      <c r="Y47" s="4">
        <f t="shared" si="13"/>
        <v>0.74539052459999999</v>
      </c>
      <c r="Z47" s="4">
        <f t="shared" si="14"/>
        <v>0.75633802779999992</v>
      </c>
      <c r="AA47" s="4">
        <f t="shared" si="15"/>
        <v>0.76728553099999997</v>
      </c>
      <c r="AB47" s="4">
        <f t="shared" si="16"/>
        <v>0.77823303420000001</v>
      </c>
      <c r="AC47" s="4">
        <f t="shared" si="17"/>
        <v>0.78918053739999994</v>
      </c>
      <c r="AD47" s="4">
        <f t="shared" si="18"/>
        <v>0.80012804059999998</v>
      </c>
      <c r="AE47" s="4">
        <f t="shared" si="19"/>
        <v>0.81107554379999991</v>
      </c>
    </row>
    <row r="48" spans="4:31" x14ac:dyDescent="0.5">
      <c r="D48" s="3">
        <v>0.45999999999999996</v>
      </c>
      <c r="E48">
        <v>0.13124199743918</v>
      </c>
      <c r="F48">
        <v>0.24903969300000001</v>
      </c>
      <c r="G48">
        <v>0.37708066600000001</v>
      </c>
      <c r="H48">
        <v>0.51152368800000003</v>
      </c>
      <c r="I48">
        <v>0.66901408500000004</v>
      </c>
      <c r="J48">
        <v>0.78745198500000002</v>
      </c>
      <c r="L48" s="4">
        <f t="shared" si="0"/>
        <v>0.17050789595945332</v>
      </c>
      <c r="M48" s="4">
        <f t="shared" si="1"/>
        <v>0.20977379447972666</v>
      </c>
      <c r="N48" s="4">
        <f t="shared" si="2"/>
        <v>0.29172001733333336</v>
      </c>
      <c r="O48" s="4">
        <f t="shared" si="3"/>
        <v>0.33440034166666666</v>
      </c>
      <c r="P48" s="4">
        <f t="shared" si="4"/>
        <v>0.41069142150000004</v>
      </c>
      <c r="Q48" s="4">
        <f t="shared" si="5"/>
        <v>0.44430217700000002</v>
      </c>
      <c r="R48" s="4">
        <f t="shared" si="6"/>
        <v>0.4779129325</v>
      </c>
      <c r="S48" s="4">
        <f t="shared" si="7"/>
        <v>0.54302176740000008</v>
      </c>
      <c r="T48" s="4">
        <f t="shared" si="8"/>
        <v>0.57451984680000001</v>
      </c>
      <c r="U48" s="4">
        <f t="shared" si="9"/>
        <v>0.60601792620000006</v>
      </c>
      <c r="V48" s="4">
        <f t="shared" si="10"/>
        <v>0.63751600559999999</v>
      </c>
      <c r="W48" s="4">
        <f t="shared" si="11"/>
        <v>0.68085787500000006</v>
      </c>
      <c r="X48" s="4">
        <f t="shared" si="12"/>
        <v>0.69270166500000008</v>
      </c>
      <c r="Y48" s="4">
        <f t="shared" si="13"/>
        <v>0.70454545499999999</v>
      </c>
      <c r="Z48" s="4">
        <f t="shared" si="14"/>
        <v>0.71638924500000001</v>
      </c>
      <c r="AA48" s="4">
        <f t="shared" si="15"/>
        <v>0.72823303500000003</v>
      </c>
      <c r="AB48" s="4">
        <f t="shared" si="16"/>
        <v>0.74007682500000005</v>
      </c>
      <c r="AC48" s="4">
        <f t="shared" si="17"/>
        <v>0.75192061500000007</v>
      </c>
      <c r="AD48" s="4">
        <f t="shared" si="18"/>
        <v>0.76376440499999998</v>
      </c>
      <c r="AE48" s="4">
        <f t="shared" si="19"/>
        <v>0.775608195</v>
      </c>
    </row>
    <row r="49" spans="4:31" x14ac:dyDescent="0.5">
      <c r="D49" s="3">
        <v>0.54999999999999993</v>
      </c>
      <c r="E49">
        <v>0.106914212548015</v>
      </c>
      <c r="F49">
        <v>0.21446862999999999</v>
      </c>
      <c r="G49">
        <v>0.33738796399999998</v>
      </c>
      <c r="H49">
        <v>0.46927016599999999</v>
      </c>
      <c r="I49">
        <v>0.62548015400000001</v>
      </c>
      <c r="J49">
        <v>0.74647887300000004</v>
      </c>
      <c r="L49" s="4">
        <f t="shared" si="0"/>
        <v>0.14276568503201001</v>
      </c>
      <c r="M49" s="4">
        <f t="shared" si="1"/>
        <v>0.17861715751600499</v>
      </c>
      <c r="N49" s="4">
        <f t="shared" si="2"/>
        <v>0.25544174133333331</v>
      </c>
      <c r="O49" s="4">
        <f t="shared" si="3"/>
        <v>0.29641485266666667</v>
      </c>
      <c r="P49" s="4">
        <f t="shared" si="4"/>
        <v>0.37035851450000001</v>
      </c>
      <c r="Q49" s="4">
        <f t="shared" si="5"/>
        <v>0.40332906499999999</v>
      </c>
      <c r="R49" s="4">
        <f t="shared" si="6"/>
        <v>0.43629961549999996</v>
      </c>
      <c r="S49" s="4">
        <f t="shared" si="7"/>
        <v>0.50051216359999995</v>
      </c>
      <c r="T49" s="4">
        <f t="shared" si="8"/>
        <v>0.53175416119999996</v>
      </c>
      <c r="U49" s="4">
        <f t="shared" si="9"/>
        <v>0.56299615879999998</v>
      </c>
      <c r="V49" s="4">
        <f t="shared" si="10"/>
        <v>0.59423815639999999</v>
      </c>
      <c r="W49" s="4">
        <f t="shared" si="11"/>
        <v>0.63758002589999996</v>
      </c>
      <c r="X49" s="4">
        <f t="shared" si="12"/>
        <v>0.64967989780000002</v>
      </c>
      <c r="Y49" s="4">
        <f t="shared" si="13"/>
        <v>0.66177976970000008</v>
      </c>
      <c r="Z49" s="4">
        <f t="shared" si="14"/>
        <v>0.67387964160000002</v>
      </c>
      <c r="AA49" s="4">
        <f t="shared" si="15"/>
        <v>0.68597951349999997</v>
      </c>
      <c r="AB49" s="4">
        <f t="shared" si="16"/>
        <v>0.69807938540000003</v>
      </c>
      <c r="AC49" s="4">
        <f t="shared" si="17"/>
        <v>0.71017925730000009</v>
      </c>
      <c r="AD49" s="4">
        <f t="shared" si="18"/>
        <v>0.72227912920000004</v>
      </c>
      <c r="AE49" s="4">
        <f t="shared" si="19"/>
        <v>0.73437900109999998</v>
      </c>
    </row>
    <row r="50" spans="4:31" x14ac:dyDescent="0.5">
      <c r="D50" s="3">
        <v>0.6399999999999999</v>
      </c>
      <c r="E50">
        <v>8.5787451984635096E-2</v>
      </c>
      <c r="F50">
        <v>0.185659411</v>
      </c>
      <c r="G50">
        <v>0.30089628699999998</v>
      </c>
      <c r="H50">
        <v>0.42637644000000002</v>
      </c>
      <c r="I50">
        <v>0.58066581299999998</v>
      </c>
      <c r="J50">
        <v>0.70230473800000004</v>
      </c>
      <c r="L50" s="4">
        <f t="shared" si="0"/>
        <v>0.11907810498975674</v>
      </c>
      <c r="M50" s="4">
        <f t="shared" si="1"/>
        <v>0.15236875799487837</v>
      </c>
      <c r="N50" s="4">
        <f t="shared" si="2"/>
        <v>0.22407170299999998</v>
      </c>
      <c r="O50" s="4">
        <f t="shared" si="3"/>
        <v>0.26248399499999997</v>
      </c>
      <c r="P50" s="4">
        <f t="shared" si="4"/>
        <v>0.33226632524999999</v>
      </c>
      <c r="Q50" s="4">
        <f t="shared" si="5"/>
        <v>0.3636363635</v>
      </c>
      <c r="R50" s="4">
        <f t="shared" si="6"/>
        <v>0.39500640175000001</v>
      </c>
      <c r="S50" s="4">
        <f t="shared" si="7"/>
        <v>0.45723431460000002</v>
      </c>
      <c r="T50" s="4">
        <f t="shared" si="8"/>
        <v>0.48809218919999997</v>
      </c>
      <c r="U50" s="4">
        <f t="shared" si="9"/>
        <v>0.51895006379999997</v>
      </c>
      <c r="V50" s="4">
        <f t="shared" si="10"/>
        <v>0.54980793839999997</v>
      </c>
      <c r="W50" s="4">
        <f t="shared" si="11"/>
        <v>0.59282970550000003</v>
      </c>
      <c r="X50" s="4">
        <f t="shared" si="12"/>
        <v>0.60499359799999997</v>
      </c>
      <c r="Y50" s="4">
        <f t="shared" si="13"/>
        <v>0.61715749050000002</v>
      </c>
      <c r="Z50" s="4">
        <f t="shared" si="14"/>
        <v>0.62932138299999996</v>
      </c>
      <c r="AA50" s="4">
        <f t="shared" si="15"/>
        <v>0.64148527550000001</v>
      </c>
      <c r="AB50" s="4">
        <f t="shared" si="16"/>
        <v>0.65364916800000006</v>
      </c>
      <c r="AC50" s="4">
        <f t="shared" si="17"/>
        <v>0.6658130605</v>
      </c>
      <c r="AD50" s="4">
        <f t="shared" si="18"/>
        <v>0.67797695300000005</v>
      </c>
      <c r="AE50" s="4">
        <f t="shared" si="19"/>
        <v>0.69014084549999999</v>
      </c>
    </row>
    <row r="51" spans="4:31" x14ac:dyDescent="0.5">
      <c r="D51" s="3">
        <v>0.72999999999999987</v>
      </c>
      <c r="E51">
        <v>6.8501920614596701E-2</v>
      </c>
      <c r="F51">
        <v>0.15941101199999999</v>
      </c>
      <c r="G51">
        <v>0.26760563399999998</v>
      </c>
      <c r="H51">
        <v>0.38540332900000002</v>
      </c>
      <c r="I51">
        <v>0.53265044800000005</v>
      </c>
      <c r="J51">
        <v>0.65492957699999998</v>
      </c>
      <c r="L51" s="4">
        <f t="shared" si="0"/>
        <v>9.8804951076397793E-2</v>
      </c>
      <c r="M51" s="4">
        <f t="shared" si="1"/>
        <v>0.12910798153819888</v>
      </c>
      <c r="N51" s="4">
        <f t="shared" si="2"/>
        <v>0.19547588599999999</v>
      </c>
      <c r="O51" s="4">
        <f t="shared" si="3"/>
        <v>0.23154075999999998</v>
      </c>
      <c r="P51" s="4">
        <f t="shared" si="4"/>
        <v>0.29705505774999996</v>
      </c>
      <c r="Q51" s="4">
        <f t="shared" si="5"/>
        <v>0.3265044815</v>
      </c>
      <c r="R51" s="4">
        <f t="shared" si="6"/>
        <v>0.35595390525000004</v>
      </c>
      <c r="S51" s="4">
        <f t="shared" si="7"/>
        <v>0.4148527528</v>
      </c>
      <c r="T51" s="4">
        <f t="shared" si="8"/>
        <v>0.44430217660000004</v>
      </c>
      <c r="U51" s="4">
        <f t="shared" si="9"/>
        <v>0.47375160040000003</v>
      </c>
      <c r="V51" s="4">
        <f t="shared" si="10"/>
        <v>0.50320102420000001</v>
      </c>
      <c r="W51" s="4">
        <f t="shared" si="11"/>
        <v>0.54487836090000008</v>
      </c>
      <c r="X51" s="4">
        <f t="shared" si="12"/>
        <v>0.5571062738</v>
      </c>
      <c r="Y51" s="4">
        <f t="shared" si="13"/>
        <v>0.56933418670000002</v>
      </c>
      <c r="Z51" s="4">
        <f t="shared" si="14"/>
        <v>0.58156209960000005</v>
      </c>
      <c r="AA51" s="4">
        <f t="shared" si="15"/>
        <v>0.59379001249999996</v>
      </c>
      <c r="AB51" s="4">
        <f t="shared" si="16"/>
        <v>0.60601792539999999</v>
      </c>
      <c r="AC51" s="4">
        <f t="shared" si="17"/>
        <v>0.61824583830000002</v>
      </c>
      <c r="AD51" s="4">
        <f t="shared" si="18"/>
        <v>0.63047375120000004</v>
      </c>
      <c r="AE51" s="4">
        <f t="shared" si="19"/>
        <v>0.64270166409999996</v>
      </c>
    </row>
    <row r="52" spans="4:31" x14ac:dyDescent="0.5">
      <c r="D52" s="3">
        <v>0.81999999999999984</v>
      </c>
      <c r="E52">
        <v>4.9935979513444299E-2</v>
      </c>
      <c r="F52">
        <v>0.134443022</v>
      </c>
      <c r="G52">
        <v>0.23239436599999999</v>
      </c>
      <c r="H52">
        <v>0.339948784</v>
      </c>
      <c r="I52">
        <v>0.48143405900000003</v>
      </c>
      <c r="J52">
        <v>0.60051216399999996</v>
      </c>
      <c r="L52" s="4">
        <f t="shared" si="0"/>
        <v>7.8104993675629536E-2</v>
      </c>
      <c r="M52" s="4">
        <f t="shared" si="1"/>
        <v>0.10627400783781477</v>
      </c>
      <c r="N52" s="4">
        <f t="shared" si="2"/>
        <v>0.16709346999999999</v>
      </c>
      <c r="O52" s="4">
        <f t="shared" si="3"/>
        <v>0.19974391799999999</v>
      </c>
      <c r="P52" s="4">
        <f t="shared" si="4"/>
        <v>0.25928297049999999</v>
      </c>
      <c r="Q52" s="4">
        <f t="shared" si="5"/>
        <v>0.28617157500000001</v>
      </c>
      <c r="R52" s="4">
        <f t="shared" si="6"/>
        <v>0.31306017949999998</v>
      </c>
      <c r="S52" s="4">
        <f t="shared" si="7"/>
        <v>0.36824583900000002</v>
      </c>
      <c r="T52" s="4">
        <f t="shared" si="8"/>
        <v>0.39654289399999998</v>
      </c>
      <c r="U52" s="4">
        <f t="shared" si="9"/>
        <v>0.42483994899999999</v>
      </c>
      <c r="V52" s="4">
        <f t="shared" si="10"/>
        <v>0.45313700400000001</v>
      </c>
      <c r="W52" s="4">
        <f t="shared" si="11"/>
        <v>0.49334186950000003</v>
      </c>
      <c r="X52" s="4">
        <f t="shared" si="12"/>
        <v>0.50524968000000003</v>
      </c>
      <c r="Y52" s="4">
        <f t="shared" si="13"/>
        <v>0.51715749050000004</v>
      </c>
      <c r="Z52" s="4">
        <f t="shared" si="14"/>
        <v>0.52906530100000004</v>
      </c>
      <c r="AA52" s="4">
        <f t="shared" si="15"/>
        <v>0.54097311150000005</v>
      </c>
      <c r="AB52" s="4">
        <f t="shared" si="16"/>
        <v>0.55288092199999994</v>
      </c>
      <c r="AC52" s="4">
        <f t="shared" si="17"/>
        <v>0.56478873249999995</v>
      </c>
      <c r="AD52" s="4">
        <f t="shared" si="18"/>
        <v>0.57669654299999995</v>
      </c>
      <c r="AE52" s="4">
        <f t="shared" si="19"/>
        <v>0.58860435349999995</v>
      </c>
    </row>
    <row r="53" spans="4:31" x14ac:dyDescent="0.5">
      <c r="D53" s="3">
        <v>0.90999999999999981</v>
      </c>
      <c r="E53">
        <v>3.5851472471190797E-2</v>
      </c>
      <c r="F53">
        <v>0.113316261</v>
      </c>
      <c r="G53">
        <v>0.19782330300000001</v>
      </c>
      <c r="H53">
        <v>0.29449423800000002</v>
      </c>
      <c r="I53">
        <v>0.42701664499999997</v>
      </c>
      <c r="J53">
        <v>0.53521126799999996</v>
      </c>
      <c r="L53" s="4">
        <f t="shared" si="0"/>
        <v>6.1673068647460527E-2</v>
      </c>
      <c r="M53" s="4">
        <f t="shared" si="1"/>
        <v>8.7494664823730264E-2</v>
      </c>
      <c r="N53" s="4">
        <f t="shared" si="2"/>
        <v>0.14148527499999999</v>
      </c>
      <c r="O53" s="4">
        <f t="shared" si="3"/>
        <v>0.16965428900000001</v>
      </c>
      <c r="P53" s="4">
        <f t="shared" si="4"/>
        <v>0.22199103675000001</v>
      </c>
      <c r="Q53" s="4">
        <f t="shared" si="5"/>
        <v>0.24615877050000001</v>
      </c>
      <c r="R53" s="4">
        <f t="shared" si="6"/>
        <v>0.27032650425000004</v>
      </c>
      <c r="S53" s="4">
        <f t="shared" si="7"/>
        <v>0.32099871940000002</v>
      </c>
      <c r="T53" s="4">
        <f t="shared" si="8"/>
        <v>0.34750320080000002</v>
      </c>
      <c r="U53" s="4">
        <f t="shared" si="9"/>
        <v>0.37400768220000002</v>
      </c>
      <c r="V53" s="4">
        <f t="shared" si="10"/>
        <v>0.40051216359999997</v>
      </c>
      <c r="W53" s="4">
        <f t="shared" si="11"/>
        <v>0.43783610729999994</v>
      </c>
      <c r="X53" s="4">
        <f t="shared" si="12"/>
        <v>0.44865556959999997</v>
      </c>
      <c r="Y53" s="4">
        <f t="shared" si="13"/>
        <v>0.45947503189999994</v>
      </c>
      <c r="Z53" s="4">
        <f t="shared" si="14"/>
        <v>0.47029449419999997</v>
      </c>
      <c r="AA53" s="4">
        <f t="shared" si="15"/>
        <v>0.4811139565</v>
      </c>
      <c r="AB53" s="4">
        <f t="shared" si="16"/>
        <v>0.49193341879999997</v>
      </c>
      <c r="AC53" s="4">
        <f t="shared" si="17"/>
        <v>0.50275288109999994</v>
      </c>
      <c r="AD53" s="4">
        <f t="shared" si="18"/>
        <v>0.51357234339999991</v>
      </c>
      <c r="AE53" s="4">
        <f t="shared" si="19"/>
        <v>0.52439180569999999</v>
      </c>
    </row>
    <row r="54" spans="4:31" x14ac:dyDescent="0.5">
      <c r="D54" s="3">
        <v>1</v>
      </c>
      <c r="E54">
        <v>2.4967989756722E-2</v>
      </c>
      <c r="F54">
        <v>9.6030729999999995E-2</v>
      </c>
      <c r="G54">
        <v>0.16709346999999999</v>
      </c>
      <c r="H54">
        <v>0.25288092200000001</v>
      </c>
      <c r="I54">
        <v>0.371959027</v>
      </c>
      <c r="J54">
        <v>0.47503201</v>
      </c>
      <c r="L54" s="4">
        <f t="shared" si="0"/>
        <v>4.8655569837814661E-2</v>
      </c>
      <c r="M54" s="4">
        <f t="shared" si="1"/>
        <v>7.2343149918907335E-2</v>
      </c>
      <c r="N54" s="4">
        <f t="shared" si="2"/>
        <v>0.11971830999999999</v>
      </c>
      <c r="O54" s="4">
        <f t="shared" si="3"/>
        <v>0.14340588999999998</v>
      </c>
      <c r="P54" s="4">
        <f t="shared" si="4"/>
        <v>0.188540333</v>
      </c>
      <c r="Q54" s="4">
        <f t="shared" si="5"/>
        <v>0.20998719599999999</v>
      </c>
      <c r="R54" s="4">
        <f t="shared" si="6"/>
        <v>0.23143405900000003</v>
      </c>
      <c r="S54" s="4">
        <f t="shared" si="7"/>
        <v>0.27669654300000002</v>
      </c>
      <c r="T54" s="4">
        <f t="shared" si="8"/>
        <v>0.30051216400000003</v>
      </c>
      <c r="U54" s="4">
        <f t="shared" si="9"/>
        <v>0.32432778499999998</v>
      </c>
      <c r="V54" s="4">
        <f t="shared" si="10"/>
        <v>0.34814340599999999</v>
      </c>
      <c r="W54" s="4">
        <f t="shared" si="11"/>
        <v>0.38226632529999999</v>
      </c>
      <c r="X54" s="4">
        <f t="shared" si="12"/>
        <v>0.39257362359999998</v>
      </c>
      <c r="Y54" s="4">
        <f t="shared" si="13"/>
        <v>0.40288092190000002</v>
      </c>
      <c r="Z54" s="4">
        <f t="shared" si="14"/>
        <v>0.41318822020000001</v>
      </c>
      <c r="AA54" s="4">
        <f t="shared" si="15"/>
        <v>0.4234955185</v>
      </c>
      <c r="AB54" s="4">
        <f t="shared" si="16"/>
        <v>0.43380281679999999</v>
      </c>
      <c r="AC54" s="4">
        <f t="shared" si="17"/>
        <v>0.44411011509999998</v>
      </c>
      <c r="AD54" s="4">
        <f t="shared" si="18"/>
        <v>0.45441741339999997</v>
      </c>
      <c r="AE54" s="4">
        <f t="shared" si="19"/>
        <v>0.46472471170000001</v>
      </c>
    </row>
    <row r="55" spans="4:31" x14ac:dyDescent="0.5">
      <c r="D55" s="3">
        <v>1.9</v>
      </c>
      <c r="E55">
        <v>2.4327785000000001E-2</v>
      </c>
      <c r="F55">
        <v>8.3226632999999994E-2</v>
      </c>
      <c r="G55">
        <v>0.13572343100000001</v>
      </c>
      <c r="H55">
        <v>0.204225352</v>
      </c>
      <c r="I55">
        <v>0.309859155</v>
      </c>
      <c r="J55">
        <v>0.40332906499999999</v>
      </c>
      <c r="L55" s="4">
        <f t="shared" si="0"/>
        <v>4.3960734333333334E-2</v>
      </c>
      <c r="M55" s="4">
        <f t="shared" si="1"/>
        <v>6.3593683666666664E-2</v>
      </c>
      <c r="N55" s="4">
        <f t="shared" si="2"/>
        <v>0.10072556566666667</v>
      </c>
      <c r="O55" s="4">
        <f t="shared" si="3"/>
        <v>0.11822449833333334</v>
      </c>
      <c r="P55" s="4">
        <f t="shared" si="4"/>
        <v>0.15284891125</v>
      </c>
      <c r="Q55" s="4">
        <f t="shared" si="5"/>
        <v>0.16997439149999999</v>
      </c>
      <c r="R55" s="4">
        <f t="shared" si="6"/>
        <v>0.18709987175000001</v>
      </c>
      <c r="S55" s="4">
        <f t="shared" si="7"/>
        <v>0.22535211259999999</v>
      </c>
      <c r="T55" s="4">
        <f t="shared" si="8"/>
        <v>0.2464788732</v>
      </c>
      <c r="U55" s="4">
        <f t="shared" si="9"/>
        <v>0.26760563380000002</v>
      </c>
      <c r="V55" s="4">
        <f t="shared" si="10"/>
        <v>0.28873239439999998</v>
      </c>
      <c r="W55" s="4">
        <f t="shared" si="11"/>
        <v>0.31920614599999997</v>
      </c>
      <c r="X55" s="4">
        <f t="shared" si="12"/>
        <v>0.328553137</v>
      </c>
      <c r="Y55" s="4">
        <f t="shared" si="13"/>
        <v>0.33790012800000002</v>
      </c>
      <c r="Z55" s="4">
        <f t="shared" si="14"/>
        <v>0.34724711899999999</v>
      </c>
      <c r="AA55" s="4">
        <f t="shared" si="15"/>
        <v>0.35659410999999996</v>
      </c>
      <c r="AB55" s="4">
        <f t="shared" si="16"/>
        <v>0.36594110099999999</v>
      </c>
      <c r="AC55" s="4">
        <f t="shared" si="17"/>
        <v>0.37528809200000002</v>
      </c>
      <c r="AD55" s="4">
        <f t="shared" si="18"/>
        <v>0.38463508299999999</v>
      </c>
      <c r="AE55" s="4">
        <f t="shared" si="19"/>
        <v>0.39398207399999996</v>
      </c>
    </row>
    <row r="56" spans="4:31" x14ac:dyDescent="0.5">
      <c r="D56" s="3">
        <v>2.8</v>
      </c>
      <c r="E56">
        <v>2.1126761000000001E-2</v>
      </c>
      <c r="F56">
        <v>7.7464789000000006E-2</v>
      </c>
      <c r="G56">
        <v>0.119078105</v>
      </c>
      <c r="H56">
        <v>0.16709346999999999</v>
      </c>
      <c r="I56">
        <v>0.26248399500000003</v>
      </c>
      <c r="J56">
        <v>0.346350832</v>
      </c>
      <c r="L56" s="4">
        <f t="shared" si="0"/>
        <v>3.9906103666666665E-2</v>
      </c>
      <c r="M56" s="4">
        <f t="shared" si="1"/>
        <v>5.8685446333333335E-2</v>
      </c>
      <c r="N56" s="4">
        <f t="shared" si="2"/>
        <v>9.1335894333333334E-2</v>
      </c>
      <c r="O56" s="4">
        <f t="shared" si="3"/>
        <v>0.10520699966666668</v>
      </c>
      <c r="P56" s="4">
        <f t="shared" si="4"/>
        <v>0.13108194625</v>
      </c>
      <c r="Q56" s="4">
        <f t="shared" si="5"/>
        <v>0.14308578750000001</v>
      </c>
      <c r="R56" s="4">
        <f t="shared" si="6"/>
        <v>0.15508962874999999</v>
      </c>
      <c r="S56" s="4">
        <f t="shared" si="7"/>
        <v>0.18617157500000001</v>
      </c>
      <c r="T56" s="4">
        <f t="shared" si="8"/>
        <v>0.20524967999999999</v>
      </c>
      <c r="U56" s="4">
        <f t="shared" si="9"/>
        <v>0.224327785</v>
      </c>
      <c r="V56" s="4">
        <f t="shared" si="10"/>
        <v>0.24340589000000001</v>
      </c>
      <c r="W56" s="4">
        <f t="shared" si="11"/>
        <v>0.27087067870000003</v>
      </c>
      <c r="X56" s="4">
        <f t="shared" si="12"/>
        <v>0.27925736240000004</v>
      </c>
      <c r="Y56" s="4">
        <f t="shared" si="13"/>
        <v>0.28764404609999999</v>
      </c>
      <c r="Z56" s="4">
        <f t="shared" si="14"/>
        <v>0.2960307298</v>
      </c>
      <c r="AA56" s="4">
        <f t="shared" si="15"/>
        <v>0.30441741350000001</v>
      </c>
      <c r="AB56" s="4">
        <f t="shared" si="16"/>
        <v>0.31280409720000002</v>
      </c>
      <c r="AC56" s="4">
        <f t="shared" si="17"/>
        <v>0.32119078090000003</v>
      </c>
      <c r="AD56" s="4">
        <f t="shared" si="18"/>
        <v>0.32957746460000004</v>
      </c>
      <c r="AE56" s="4">
        <f t="shared" si="19"/>
        <v>0.33796414829999999</v>
      </c>
    </row>
    <row r="57" spans="4:31" x14ac:dyDescent="0.5">
      <c r="D57" s="3">
        <v>3.6999999999999997</v>
      </c>
      <c r="E57">
        <v>1.8565940999999999E-2</v>
      </c>
      <c r="F57">
        <v>6.9782330000000004E-2</v>
      </c>
      <c r="G57">
        <v>0.102432778</v>
      </c>
      <c r="H57">
        <v>0.13572343100000001</v>
      </c>
      <c r="I57">
        <v>0.22087067899999999</v>
      </c>
      <c r="J57">
        <v>0.28745198500000002</v>
      </c>
      <c r="L57" s="4">
        <f t="shared" si="0"/>
        <v>3.5638070666666667E-2</v>
      </c>
      <c r="M57" s="4">
        <f t="shared" si="1"/>
        <v>5.2710200333333332E-2</v>
      </c>
      <c r="N57" s="4">
        <f t="shared" si="2"/>
        <v>8.066581266666667E-2</v>
      </c>
      <c r="O57" s="4">
        <f t="shared" si="3"/>
        <v>9.1549295333333336E-2</v>
      </c>
      <c r="P57" s="4">
        <f t="shared" si="4"/>
        <v>0.11075544125</v>
      </c>
      <c r="Q57" s="4">
        <f t="shared" si="5"/>
        <v>0.1190781045</v>
      </c>
      <c r="R57" s="4">
        <f t="shared" si="6"/>
        <v>0.12740076775</v>
      </c>
      <c r="S57" s="4">
        <f t="shared" si="7"/>
        <v>0.1527528806</v>
      </c>
      <c r="T57" s="4">
        <f t="shared" si="8"/>
        <v>0.1697823302</v>
      </c>
      <c r="U57" s="4">
        <f t="shared" si="9"/>
        <v>0.18681177979999999</v>
      </c>
      <c r="V57" s="4">
        <f t="shared" si="10"/>
        <v>0.20384122939999999</v>
      </c>
      <c r="W57" s="4">
        <f t="shared" si="11"/>
        <v>0.22752880959999999</v>
      </c>
      <c r="X57" s="4">
        <f t="shared" si="12"/>
        <v>0.2341869402</v>
      </c>
      <c r="Y57" s="4">
        <f t="shared" si="13"/>
        <v>0.24084507080000001</v>
      </c>
      <c r="Z57" s="4">
        <f t="shared" si="14"/>
        <v>0.24750320139999998</v>
      </c>
      <c r="AA57" s="4">
        <f t="shared" si="15"/>
        <v>0.25416133200000002</v>
      </c>
      <c r="AB57" s="4">
        <f t="shared" si="16"/>
        <v>0.2608194626</v>
      </c>
      <c r="AC57" s="4">
        <f t="shared" si="17"/>
        <v>0.26747759320000003</v>
      </c>
      <c r="AD57" s="4">
        <f t="shared" si="18"/>
        <v>0.27413572380000001</v>
      </c>
      <c r="AE57" s="4">
        <f t="shared" si="19"/>
        <v>0.28079385440000004</v>
      </c>
    </row>
    <row r="58" spans="4:31" x14ac:dyDescent="0.5">
      <c r="D58" s="2"/>
    </row>
    <row r="59" spans="4:31" x14ac:dyDescent="0.5">
      <c r="D59" s="2"/>
    </row>
    <row r="60" spans="4:31" x14ac:dyDescent="0.5">
      <c r="D60" s="2"/>
    </row>
    <row r="61" spans="4:31" x14ac:dyDescent="0.5">
      <c r="D61" s="2"/>
    </row>
  </sheetData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E00D-45E9-4D07-A555-B059407845B0}">
  <dimension ref="A1:K1"/>
  <sheetViews>
    <sheetView workbookViewId="0">
      <selection sqref="A1:K1"/>
    </sheetView>
  </sheetViews>
  <sheetFormatPr defaultRowHeight="14.1" x14ac:dyDescent="0.5"/>
  <sheetData>
    <row r="1" spans="1:11" x14ac:dyDescent="0.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OCR 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Aminu John</dc:creator>
  <cp:lastModifiedBy>A J</cp:lastModifiedBy>
  <dcterms:created xsi:type="dcterms:W3CDTF">2026-03-28T02:51:47Z</dcterms:created>
  <dcterms:modified xsi:type="dcterms:W3CDTF">2026-04-01T01:30:42Z</dcterms:modified>
</cp:coreProperties>
</file>