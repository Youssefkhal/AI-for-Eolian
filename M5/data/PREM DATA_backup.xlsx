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joh\Desktop\"/>
    </mc:Choice>
  </mc:AlternateContent>
  <xr:revisionPtr revIDLastSave="0" documentId="13_ncr:1_{C137A94B-F844-4C71-8958-D3A5DE28C09B}" xr6:coauthVersionLast="47" xr6:coauthVersionMax="47" xr10:uidLastSave="{00000000-0000-0000-0000-000000000000}"/>
  <bookViews>
    <workbookView xWindow="57480" yWindow="7245" windowWidth="29040" windowHeight="15720" xr2:uid="{5DB4904F-B36B-44C6-8850-6D2C97370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37" i="1" l="1"/>
  <c r="U836" i="1"/>
  <c r="U835" i="1"/>
  <c r="U834" i="1"/>
  <c r="U833" i="1"/>
  <c r="U832" i="1"/>
  <c r="U831" i="1"/>
  <c r="M831" i="1" s="1"/>
  <c r="U830" i="1"/>
  <c r="M830" i="1" s="1"/>
  <c r="U829" i="1"/>
  <c r="M829" i="1" s="1"/>
  <c r="U828" i="1"/>
  <c r="M828" i="1" s="1"/>
  <c r="U827" i="1"/>
  <c r="M827" i="1" s="1"/>
  <c r="U826" i="1"/>
  <c r="M826" i="1" s="1"/>
  <c r="U825" i="1"/>
  <c r="M825" i="1" s="1"/>
  <c r="U824" i="1"/>
  <c r="M824" i="1" s="1"/>
  <c r="U823" i="1"/>
  <c r="U822" i="1"/>
  <c r="M822" i="1" s="1"/>
  <c r="U821" i="1"/>
  <c r="M821" i="1" s="1"/>
  <c r="U820" i="1"/>
  <c r="M820" i="1" s="1"/>
  <c r="U819" i="1"/>
  <c r="M819" i="1" s="1"/>
  <c r="U818" i="1"/>
  <c r="M818" i="1" s="1"/>
  <c r="U817" i="1"/>
  <c r="M817" i="1" s="1"/>
  <c r="U816" i="1"/>
  <c r="M816" i="1" s="1"/>
  <c r="U815" i="1"/>
  <c r="U814" i="1"/>
  <c r="U813" i="1"/>
  <c r="U812" i="1"/>
  <c r="U811" i="1"/>
  <c r="U810" i="1"/>
  <c r="U809" i="1"/>
  <c r="M809" i="1" s="1"/>
  <c r="U808" i="1"/>
  <c r="M808" i="1" s="1"/>
  <c r="U807" i="1"/>
  <c r="U806" i="1"/>
  <c r="U805" i="1"/>
  <c r="U804" i="1"/>
  <c r="M804" i="1" s="1"/>
  <c r="U803" i="1"/>
  <c r="M803" i="1" s="1"/>
  <c r="U802" i="1"/>
  <c r="M802" i="1" s="1"/>
  <c r="U801" i="1"/>
  <c r="M801" i="1" s="1"/>
  <c r="U800" i="1"/>
  <c r="M800" i="1" s="1"/>
  <c r="U799" i="1"/>
  <c r="M799" i="1" s="1"/>
  <c r="U798" i="1"/>
  <c r="M798" i="1" s="1"/>
  <c r="U797" i="1"/>
  <c r="M797" i="1" s="1"/>
  <c r="U796" i="1"/>
  <c r="M796" i="1" s="1"/>
  <c r="U795" i="1"/>
  <c r="M795" i="1" s="1"/>
  <c r="U794" i="1"/>
  <c r="M794" i="1" s="1"/>
  <c r="K830" i="1" s="1"/>
  <c r="L830" i="1" s="1"/>
  <c r="U793" i="1"/>
  <c r="U792" i="1"/>
  <c r="U791" i="1"/>
  <c r="M791" i="1" s="1"/>
  <c r="U790" i="1"/>
  <c r="U789" i="1"/>
  <c r="M789" i="1" s="1"/>
  <c r="U788" i="1"/>
  <c r="M788" i="1" s="1"/>
  <c r="U787" i="1"/>
  <c r="U786" i="1"/>
  <c r="U785" i="1"/>
  <c r="M785" i="1" s="1"/>
  <c r="U784" i="1"/>
  <c r="M784" i="1" s="1"/>
  <c r="U783" i="1"/>
  <c r="M783" i="1" s="1"/>
  <c r="U782" i="1"/>
  <c r="M782" i="1" s="1"/>
  <c r="U781" i="1"/>
  <c r="M781" i="1" s="1"/>
  <c r="U780" i="1"/>
  <c r="M780" i="1" s="1"/>
  <c r="U779" i="1"/>
  <c r="M779" i="1" s="1"/>
  <c r="U778" i="1"/>
  <c r="M778" i="1" s="1"/>
  <c r="U777" i="1"/>
  <c r="M777" i="1" s="1"/>
  <c r="U776" i="1"/>
  <c r="M776" i="1" s="1"/>
  <c r="U775" i="1"/>
  <c r="M775" i="1" s="1"/>
  <c r="U774" i="1"/>
  <c r="M774" i="1" s="1"/>
  <c r="U773" i="1"/>
  <c r="M773" i="1" s="1"/>
  <c r="U772" i="1"/>
  <c r="M772" i="1" s="1"/>
  <c r="U771" i="1"/>
  <c r="U770" i="1"/>
  <c r="U769" i="1"/>
  <c r="U768" i="1"/>
  <c r="U767" i="1"/>
  <c r="U766" i="1"/>
  <c r="M766" i="1" s="1"/>
  <c r="U765" i="1"/>
  <c r="M765" i="1" s="1"/>
  <c r="U764" i="1"/>
  <c r="M764" i="1" s="1"/>
  <c r="U763" i="1"/>
  <c r="M763" i="1" s="1"/>
  <c r="U762" i="1"/>
  <c r="M762" i="1" s="1"/>
  <c r="U761" i="1"/>
  <c r="U760" i="1"/>
  <c r="M760" i="1" s="1"/>
  <c r="U759" i="1"/>
  <c r="M759" i="1" s="1"/>
  <c r="U758" i="1"/>
  <c r="M758" i="1" s="1"/>
  <c r="U757" i="1"/>
  <c r="M757" i="1" s="1"/>
  <c r="U756" i="1"/>
  <c r="M756" i="1" s="1"/>
  <c r="U755" i="1"/>
  <c r="M755" i="1" s="1"/>
  <c r="U754" i="1"/>
  <c r="M754" i="1" s="1"/>
  <c r="U753" i="1"/>
  <c r="M753" i="1" s="1"/>
  <c r="U752" i="1"/>
  <c r="M752" i="1" s="1"/>
  <c r="U751" i="1"/>
  <c r="M751" i="1" s="1"/>
  <c r="U750" i="1"/>
  <c r="M750" i="1" s="1"/>
  <c r="K754" i="1" s="1"/>
  <c r="L754" i="1" s="1"/>
  <c r="U749" i="1"/>
  <c r="U748" i="1"/>
  <c r="U747" i="1"/>
  <c r="U746" i="1"/>
  <c r="U745" i="1"/>
  <c r="U744" i="1"/>
  <c r="U743" i="1"/>
  <c r="U742" i="1"/>
  <c r="M742" i="1" s="1"/>
  <c r="U741" i="1"/>
  <c r="M741" i="1" s="1"/>
  <c r="U740" i="1"/>
  <c r="M740" i="1" s="1"/>
  <c r="U739" i="1"/>
  <c r="M739" i="1" s="1"/>
  <c r="U738" i="1"/>
  <c r="M738" i="1" s="1"/>
  <c r="U737" i="1"/>
  <c r="M737" i="1" s="1"/>
  <c r="U736" i="1"/>
  <c r="M736" i="1" s="1"/>
  <c r="U735" i="1"/>
  <c r="M735" i="1" s="1"/>
  <c r="U734" i="1"/>
  <c r="M734" i="1" s="1"/>
  <c r="U733" i="1"/>
  <c r="M733" i="1" s="1"/>
  <c r="U732" i="1"/>
  <c r="M732" i="1" s="1"/>
  <c r="U731" i="1"/>
  <c r="M731" i="1" s="1"/>
  <c r="U730" i="1"/>
  <c r="M730" i="1" s="1"/>
  <c r="U729" i="1"/>
  <c r="M729" i="1" s="1"/>
  <c r="U728" i="1"/>
  <c r="M728" i="1" s="1"/>
  <c r="U727" i="1"/>
  <c r="U726" i="1"/>
  <c r="U725" i="1"/>
  <c r="U724" i="1"/>
  <c r="U723" i="1"/>
  <c r="M723" i="1" s="1"/>
  <c r="U722" i="1"/>
  <c r="M722" i="1" s="1"/>
  <c r="U721" i="1"/>
  <c r="M721" i="1" s="1"/>
  <c r="U720" i="1"/>
  <c r="M720" i="1" s="1"/>
  <c r="U719" i="1"/>
  <c r="U718" i="1"/>
  <c r="M718" i="1" s="1"/>
  <c r="U717" i="1"/>
  <c r="M717" i="1" s="1"/>
  <c r="U716" i="1"/>
  <c r="U715" i="1"/>
  <c r="U714" i="1"/>
  <c r="U713" i="1"/>
  <c r="M713" i="1" s="1"/>
  <c r="U712" i="1"/>
  <c r="U711" i="1"/>
  <c r="U710" i="1"/>
  <c r="M710" i="1" s="1"/>
  <c r="U709" i="1"/>
  <c r="M709" i="1" s="1"/>
  <c r="U708" i="1"/>
  <c r="M708" i="1" s="1"/>
  <c r="U707" i="1"/>
  <c r="M707" i="1" s="1"/>
  <c r="U706" i="1"/>
  <c r="M706" i="1" s="1"/>
  <c r="K716" i="1" s="1"/>
  <c r="L716" i="1" s="1"/>
  <c r="U705" i="1"/>
  <c r="U704" i="1"/>
  <c r="U703" i="1"/>
  <c r="U702" i="1"/>
  <c r="U701" i="1"/>
  <c r="U700" i="1"/>
  <c r="U699" i="1"/>
  <c r="U698" i="1"/>
  <c r="U697" i="1"/>
  <c r="M697" i="1" s="1"/>
  <c r="U696" i="1"/>
  <c r="M696" i="1" s="1"/>
  <c r="U695" i="1"/>
  <c r="M695" i="1" s="1"/>
  <c r="U694" i="1"/>
  <c r="M694" i="1" s="1"/>
  <c r="U693" i="1"/>
  <c r="M693" i="1" s="1"/>
  <c r="U692" i="1"/>
  <c r="M692" i="1" s="1"/>
  <c r="U691" i="1"/>
  <c r="M691" i="1" s="1"/>
  <c r="U690" i="1"/>
  <c r="M690" i="1" s="1"/>
  <c r="U689" i="1"/>
  <c r="M689" i="1" s="1"/>
  <c r="U688" i="1"/>
  <c r="M688" i="1" s="1"/>
  <c r="U687" i="1"/>
  <c r="M687" i="1" s="1"/>
  <c r="U686" i="1"/>
  <c r="M686" i="1" s="1"/>
  <c r="U685" i="1"/>
  <c r="M685" i="1" s="1"/>
  <c r="U684" i="1"/>
  <c r="M684" i="1" s="1"/>
  <c r="U683" i="1"/>
  <c r="U682" i="1"/>
  <c r="U681" i="1"/>
  <c r="U680" i="1"/>
  <c r="U679" i="1"/>
  <c r="U678" i="1"/>
  <c r="U677" i="1"/>
  <c r="U676" i="1"/>
  <c r="U675" i="1"/>
  <c r="U674" i="1"/>
  <c r="M674" i="1" s="1"/>
  <c r="U673" i="1"/>
  <c r="M673" i="1" s="1"/>
  <c r="U672" i="1"/>
  <c r="M672" i="1" s="1"/>
  <c r="U671" i="1"/>
  <c r="M671" i="1" s="1"/>
  <c r="U670" i="1"/>
  <c r="M670" i="1" s="1"/>
  <c r="U669" i="1"/>
  <c r="M669" i="1" s="1"/>
  <c r="U668" i="1"/>
  <c r="M668" i="1" s="1"/>
  <c r="U667" i="1"/>
  <c r="M667" i="1" s="1"/>
  <c r="U666" i="1"/>
  <c r="U665" i="1"/>
  <c r="U664" i="1"/>
  <c r="M664" i="1" s="1"/>
  <c r="U663" i="1"/>
  <c r="M663" i="1" s="1"/>
  <c r="U662" i="1"/>
  <c r="M662" i="1" s="1"/>
  <c r="U661" i="1"/>
  <c r="U660" i="1"/>
  <c r="U659" i="1"/>
  <c r="M659" i="1" s="1"/>
  <c r="U658" i="1"/>
  <c r="U657" i="1"/>
  <c r="U656" i="1"/>
  <c r="U655" i="1"/>
  <c r="U654" i="1"/>
  <c r="M654" i="1" s="1"/>
  <c r="U653" i="1"/>
  <c r="M653" i="1" s="1"/>
  <c r="U652" i="1"/>
  <c r="M652" i="1" s="1"/>
  <c r="U651" i="1"/>
  <c r="M651" i="1" s="1"/>
  <c r="U650" i="1"/>
  <c r="M650" i="1" s="1"/>
  <c r="U649" i="1"/>
  <c r="M649" i="1" s="1"/>
  <c r="U648" i="1"/>
  <c r="M648" i="1" s="1"/>
  <c r="U647" i="1"/>
  <c r="M647" i="1" s="1"/>
  <c r="U646" i="1"/>
  <c r="M646" i="1" s="1"/>
  <c r="U645" i="1"/>
  <c r="M645" i="1" s="1"/>
  <c r="U644" i="1"/>
  <c r="M644" i="1" s="1"/>
  <c r="U643" i="1"/>
  <c r="M643" i="1" s="1"/>
  <c r="U642" i="1"/>
  <c r="M642" i="1" s="1"/>
  <c r="U641" i="1"/>
  <c r="M641" i="1" s="1"/>
  <c r="U640" i="1"/>
  <c r="M640" i="1" s="1"/>
  <c r="U639" i="1"/>
  <c r="U638" i="1"/>
  <c r="U637" i="1"/>
  <c r="U636" i="1"/>
  <c r="U635" i="1"/>
  <c r="U634" i="1"/>
  <c r="U633" i="1"/>
  <c r="U632" i="1"/>
  <c r="U631" i="1"/>
  <c r="U630" i="1"/>
  <c r="M630" i="1" s="1"/>
  <c r="U629" i="1"/>
  <c r="M629" i="1" s="1"/>
  <c r="U628" i="1"/>
  <c r="M628" i="1" s="1"/>
  <c r="U627" i="1"/>
  <c r="U626" i="1"/>
  <c r="U625" i="1"/>
  <c r="M625" i="1" s="1"/>
  <c r="U624" i="1"/>
  <c r="U623" i="1"/>
  <c r="U622" i="1"/>
  <c r="U621" i="1"/>
  <c r="M621" i="1" s="1"/>
  <c r="U620" i="1"/>
  <c r="M620" i="1" s="1"/>
  <c r="U619" i="1"/>
  <c r="M619" i="1" s="1"/>
  <c r="U618" i="1"/>
  <c r="M618" i="1" s="1"/>
  <c r="K642" i="1" s="1"/>
  <c r="L642" i="1" s="1"/>
  <c r="U617" i="1"/>
  <c r="U616" i="1"/>
  <c r="U615" i="1"/>
  <c r="U614" i="1"/>
  <c r="U613" i="1"/>
  <c r="U612" i="1"/>
  <c r="U611" i="1"/>
  <c r="U610" i="1"/>
  <c r="M610" i="1" s="1"/>
  <c r="U609" i="1"/>
  <c r="M609" i="1" s="1"/>
  <c r="U608" i="1"/>
  <c r="M608" i="1" s="1"/>
  <c r="U607" i="1"/>
  <c r="M607" i="1" s="1"/>
  <c r="U606" i="1"/>
  <c r="M606" i="1" s="1"/>
  <c r="U605" i="1"/>
  <c r="M605" i="1" s="1"/>
  <c r="U604" i="1"/>
  <c r="U603" i="1"/>
  <c r="M603" i="1" s="1"/>
  <c r="U602" i="1"/>
  <c r="M602" i="1" s="1"/>
  <c r="U601" i="1"/>
  <c r="M601" i="1" s="1"/>
  <c r="U600" i="1"/>
  <c r="M600" i="1" s="1"/>
  <c r="U599" i="1"/>
  <c r="M599" i="1" s="1"/>
  <c r="U598" i="1"/>
  <c r="M598" i="1" s="1"/>
  <c r="U597" i="1"/>
  <c r="M597" i="1" s="1"/>
  <c r="U596" i="1"/>
  <c r="M596" i="1" s="1"/>
  <c r="U595" i="1"/>
  <c r="U594" i="1"/>
  <c r="U593" i="1"/>
  <c r="U592" i="1"/>
  <c r="U591" i="1"/>
  <c r="U590" i="1"/>
  <c r="U589" i="1"/>
  <c r="U588" i="1"/>
  <c r="U587" i="1"/>
  <c r="U586" i="1"/>
  <c r="M586" i="1" s="1"/>
  <c r="U585" i="1"/>
  <c r="M585" i="1" s="1"/>
  <c r="U584" i="1"/>
  <c r="M584" i="1" s="1"/>
  <c r="U583" i="1"/>
  <c r="M583" i="1" s="1"/>
  <c r="U582" i="1"/>
  <c r="M582" i="1" s="1"/>
  <c r="U581" i="1"/>
  <c r="M581" i="1" s="1"/>
  <c r="U580" i="1"/>
  <c r="M580" i="1" s="1"/>
  <c r="U579" i="1"/>
  <c r="M579" i="1" s="1"/>
  <c r="U578" i="1"/>
  <c r="M578" i="1" s="1"/>
  <c r="U577" i="1"/>
  <c r="M577" i="1" s="1"/>
  <c r="U576" i="1"/>
  <c r="M576" i="1" s="1"/>
  <c r="U575" i="1"/>
  <c r="M575" i="1" s="1"/>
  <c r="U574" i="1"/>
  <c r="M574" i="1" s="1"/>
  <c r="K577" i="1" s="1"/>
  <c r="L577" i="1" s="1"/>
  <c r="U573" i="1"/>
  <c r="U572" i="1"/>
  <c r="U571" i="1"/>
  <c r="M571" i="1" s="1"/>
  <c r="U570" i="1"/>
  <c r="U569" i="1"/>
  <c r="U568" i="1"/>
  <c r="U567" i="1"/>
  <c r="U566" i="1"/>
  <c r="U565" i="1"/>
  <c r="U564" i="1"/>
  <c r="M564" i="1" s="1"/>
  <c r="U563" i="1"/>
  <c r="M563" i="1" s="1"/>
  <c r="U562" i="1"/>
  <c r="U561" i="1"/>
  <c r="U560" i="1"/>
  <c r="M560" i="1" s="1"/>
  <c r="U559" i="1"/>
  <c r="M559" i="1" s="1"/>
  <c r="U558" i="1"/>
  <c r="M558" i="1" s="1"/>
  <c r="U557" i="1"/>
  <c r="M557" i="1" s="1"/>
  <c r="U556" i="1"/>
  <c r="M556" i="1" s="1"/>
  <c r="U555" i="1"/>
  <c r="M555" i="1" s="1"/>
  <c r="U554" i="1"/>
  <c r="M554" i="1" s="1"/>
  <c r="U553" i="1"/>
  <c r="M553" i="1" s="1"/>
  <c r="U552" i="1"/>
  <c r="M552" i="1" s="1"/>
  <c r="U551" i="1"/>
  <c r="U550" i="1"/>
  <c r="U549" i="1"/>
  <c r="U548" i="1"/>
  <c r="U547" i="1"/>
  <c r="U546" i="1"/>
  <c r="U545" i="1"/>
  <c r="M545" i="1" s="1"/>
  <c r="U544" i="1"/>
  <c r="U543" i="1"/>
  <c r="U542" i="1"/>
  <c r="U541" i="1"/>
  <c r="M541" i="1" s="1"/>
  <c r="U540" i="1"/>
  <c r="M540" i="1" s="1"/>
  <c r="U539" i="1"/>
  <c r="M539" i="1" s="1"/>
  <c r="U538" i="1"/>
  <c r="M538" i="1" s="1"/>
  <c r="U537" i="1"/>
  <c r="M537" i="1" s="1"/>
  <c r="U536" i="1"/>
  <c r="M536" i="1" s="1"/>
  <c r="U535" i="1"/>
  <c r="M535" i="1" s="1"/>
  <c r="U534" i="1"/>
  <c r="M534" i="1" s="1"/>
  <c r="U533" i="1"/>
  <c r="M533" i="1" s="1"/>
  <c r="U532" i="1"/>
  <c r="M532" i="1" s="1"/>
  <c r="U531" i="1"/>
  <c r="M531" i="1" s="1"/>
  <c r="U530" i="1"/>
  <c r="M530" i="1" s="1"/>
  <c r="K568" i="1" s="1"/>
  <c r="L568" i="1" s="1"/>
  <c r="U529" i="1"/>
  <c r="U528" i="1"/>
  <c r="U527" i="1"/>
  <c r="U526" i="1"/>
  <c r="U525" i="1"/>
  <c r="M525" i="1" s="1"/>
  <c r="U524" i="1"/>
  <c r="M524" i="1" s="1"/>
  <c r="U523" i="1"/>
  <c r="U522" i="1"/>
  <c r="U521" i="1"/>
  <c r="U520" i="1"/>
  <c r="M520" i="1" s="1"/>
  <c r="U519" i="1"/>
  <c r="M519" i="1" s="1"/>
  <c r="U518" i="1"/>
  <c r="M518" i="1" s="1"/>
  <c r="U517" i="1"/>
  <c r="M517" i="1" s="1"/>
  <c r="U516" i="1"/>
  <c r="M516" i="1" s="1"/>
  <c r="U515" i="1"/>
  <c r="M515" i="1" s="1"/>
  <c r="U514" i="1"/>
  <c r="M514" i="1" s="1"/>
  <c r="U513" i="1"/>
  <c r="M513" i="1" s="1"/>
  <c r="U512" i="1"/>
  <c r="M512" i="1" s="1"/>
  <c r="U511" i="1"/>
  <c r="M511" i="1" s="1"/>
  <c r="U510" i="1"/>
  <c r="M510" i="1" s="1"/>
  <c r="U509" i="1"/>
  <c r="M509" i="1" s="1"/>
  <c r="U508" i="1"/>
  <c r="M508" i="1" s="1"/>
  <c r="U507" i="1"/>
  <c r="U506" i="1"/>
  <c r="U505" i="1"/>
  <c r="U504" i="1"/>
  <c r="U503" i="1"/>
  <c r="U502" i="1"/>
  <c r="U501" i="1"/>
  <c r="M501" i="1" s="1"/>
  <c r="U500" i="1"/>
  <c r="M500" i="1" s="1"/>
  <c r="U499" i="1"/>
  <c r="M499" i="1" s="1"/>
  <c r="U498" i="1"/>
  <c r="M498" i="1" s="1"/>
  <c r="U497" i="1"/>
  <c r="M497" i="1" s="1"/>
  <c r="U496" i="1"/>
  <c r="M496" i="1" s="1"/>
  <c r="U495" i="1"/>
  <c r="M495" i="1" s="1"/>
  <c r="U494" i="1"/>
  <c r="M494" i="1" s="1"/>
  <c r="U493" i="1"/>
  <c r="M493" i="1" s="1"/>
  <c r="U492" i="1"/>
  <c r="M492" i="1" s="1"/>
  <c r="U491" i="1"/>
  <c r="U490" i="1"/>
  <c r="U489" i="1"/>
  <c r="U488" i="1"/>
  <c r="M488" i="1" s="1"/>
  <c r="U487" i="1"/>
  <c r="M487" i="1" s="1"/>
  <c r="U486" i="1"/>
  <c r="M486" i="1" s="1"/>
  <c r="U485" i="1"/>
  <c r="U484" i="1"/>
  <c r="U483" i="1"/>
  <c r="U482" i="1"/>
  <c r="U481" i="1"/>
  <c r="U480" i="1"/>
  <c r="M480" i="1" s="1"/>
  <c r="U479" i="1"/>
  <c r="M479" i="1" s="1"/>
  <c r="U478" i="1"/>
  <c r="M478" i="1" s="1"/>
  <c r="U477" i="1"/>
  <c r="U476" i="1"/>
  <c r="U475" i="1"/>
  <c r="U474" i="1"/>
  <c r="U473" i="1"/>
  <c r="U472" i="1"/>
  <c r="M472" i="1" s="1"/>
  <c r="U471" i="1"/>
  <c r="M471" i="1" s="1"/>
  <c r="U470" i="1"/>
  <c r="M470" i="1" s="1"/>
  <c r="U469" i="1"/>
  <c r="M469" i="1" s="1"/>
  <c r="U468" i="1"/>
  <c r="M468" i="1" s="1"/>
  <c r="U467" i="1"/>
  <c r="M467" i="1" s="1"/>
  <c r="U466" i="1"/>
  <c r="M466" i="1" s="1"/>
  <c r="U465" i="1"/>
  <c r="M465" i="1" s="1"/>
  <c r="U464" i="1"/>
  <c r="M464" i="1" s="1"/>
  <c r="U463" i="1"/>
  <c r="U462" i="1"/>
  <c r="U461" i="1"/>
  <c r="U460" i="1"/>
  <c r="U459" i="1"/>
  <c r="M459" i="1" s="1"/>
  <c r="U458" i="1"/>
  <c r="M458" i="1" s="1"/>
  <c r="U457" i="1"/>
  <c r="M457" i="1" s="1"/>
  <c r="U456" i="1"/>
  <c r="M456" i="1" s="1"/>
  <c r="U455" i="1"/>
  <c r="M455" i="1" s="1"/>
  <c r="U454" i="1"/>
  <c r="M454" i="1" s="1"/>
  <c r="U453" i="1"/>
  <c r="M453" i="1" s="1"/>
  <c r="U452" i="1"/>
  <c r="U451" i="1"/>
  <c r="M451" i="1" s="1"/>
  <c r="U450" i="1"/>
  <c r="M450" i="1" s="1"/>
  <c r="U449" i="1"/>
  <c r="M449" i="1" s="1"/>
  <c r="U448" i="1"/>
  <c r="M448" i="1" s="1"/>
  <c r="U447" i="1"/>
  <c r="M447" i="1" s="1"/>
  <c r="U446" i="1"/>
  <c r="M446" i="1" s="1"/>
  <c r="U445" i="1"/>
  <c r="M445" i="1" s="1"/>
  <c r="U444" i="1"/>
  <c r="M444" i="1" s="1"/>
  <c r="U443" i="1"/>
  <c r="M443" i="1" s="1"/>
  <c r="U442" i="1"/>
  <c r="M442" i="1" s="1"/>
  <c r="K447" i="1" s="1"/>
  <c r="L447" i="1" s="1"/>
  <c r="U441" i="1"/>
  <c r="U440" i="1"/>
  <c r="U439" i="1"/>
  <c r="U438" i="1"/>
  <c r="U437" i="1"/>
  <c r="U436" i="1"/>
  <c r="U435" i="1"/>
  <c r="U434" i="1"/>
  <c r="U433" i="1"/>
  <c r="U432" i="1"/>
  <c r="U431" i="1"/>
  <c r="M431" i="1" s="1"/>
  <c r="U430" i="1"/>
  <c r="M430" i="1" s="1"/>
  <c r="U429" i="1"/>
  <c r="M429" i="1" s="1"/>
  <c r="U428" i="1"/>
  <c r="M428" i="1" s="1"/>
  <c r="U427" i="1"/>
  <c r="U426" i="1"/>
  <c r="M426" i="1" s="1"/>
  <c r="U425" i="1"/>
  <c r="M425" i="1" s="1"/>
  <c r="U424" i="1"/>
  <c r="M424" i="1" s="1"/>
  <c r="U423" i="1"/>
  <c r="M423" i="1" s="1"/>
  <c r="U422" i="1"/>
  <c r="M422" i="1" s="1"/>
  <c r="U421" i="1"/>
  <c r="M421" i="1" s="1"/>
  <c r="U420" i="1"/>
  <c r="M420" i="1" s="1"/>
  <c r="U419" i="1"/>
  <c r="U418" i="1"/>
  <c r="U417" i="1"/>
  <c r="M417" i="1" s="1"/>
  <c r="U416" i="1"/>
  <c r="U415" i="1"/>
  <c r="M415" i="1" s="1"/>
  <c r="U414" i="1"/>
  <c r="M414" i="1" s="1"/>
  <c r="U413" i="1"/>
  <c r="U412" i="1"/>
  <c r="U411" i="1"/>
  <c r="M411" i="1" s="1"/>
  <c r="U410" i="1"/>
  <c r="M410" i="1" s="1"/>
  <c r="U409" i="1"/>
  <c r="M409" i="1" s="1"/>
  <c r="U408" i="1"/>
  <c r="M408" i="1" s="1"/>
  <c r="U407" i="1"/>
  <c r="M407" i="1" s="1"/>
  <c r="U406" i="1"/>
  <c r="M406" i="1" s="1"/>
  <c r="U405" i="1"/>
  <c r="M405" i="1" s="1"/>
  <c r="U404" i="1"/>
  <c r="M404" i="1" s="1"/>
  <c r="U403" i="1"/>
  <c r="M403" i="1" s="1"/>
  <c r="U402" i="1"/>
  <c r="M402" i="1" s="1"/>
  <c r="U401" i="1"/>
  <c r="M401" i="1" s="1"/>
  <c r="U400" i="1"/>
  <c r="M400" i="1" s="1"/>
  <c r="U399" i="1"/>
  <c r="M399" i="1" s="1"/>
  <c r="U398" i="1"/>
  <c r="M398" i="1" s="1"/>
  <c r="K402" i="1" s="1"/>
  <c r="L402" i="1" s="1"/>
  <c r="U397" i="1"/>
  <c r="U396" i="1"/>
  <c r="U395" i="1"/>
  <c r="U394" i="1"/>
  <c r="U393" i="1"/>
  <c r="U392" i="1"/>
  <c r="U391" i="1"/>
  <c r="U390" i="1"/>
  <c r="U389" i="1"/>
  <c r="U388" i="1"/>
  <c r="U387" i="1"/>
  <c r="M387" i="1" s="1"/>
  <c r="U386" i="1"/>
  <c r="M386" i="1" s="1"/>
  <c r="U385" i="1"/>
  <c r="M385" i="1" s="1"/>
  <c r="U384" i="1"/>
  <c r="M384" i="1" s="1"/>
  <c r="U383" i="1"/>
  <c r="M383" i="1" s="1"/>
  <c r="U382" i="1"/>
  <c r="M382" i="1" s="1"/>
  <c r="U381" i="1"/>
  <c r="M381" i="1" s="1"/>
  <c r="U380" i="1"/>
  <c r="M380" i="1" s="1"/>
  <c r="U379" i="1"/>
  <c r="M379" i="1" s="1"/>
  <c r="U378" i="1"/>
  <c r="M378" i="1" s="1"/>
  <c r="U377" i="1"/>
  <c r="M377" i="1" s="1"/>
  <c r="U376" i="1"/>
  <c r="M376" i="1" s="1"/>
  <c r="U375" i="1"/>
  <c r="U374" i="1"/>
  <c r="M374" i="1" s="1"/>
  <c r="U373" i="1"/>
  <c r="U372" i="1"/>
  <c r="U371" i="1"/>
  <c r="U370" i="1"/>
  <c r="U369" i="1"/>
  <c r="U368" i="1"/>
  <c r="U367" i="1"/>
  <c r="U366" i="1"/>
  <c r="M366" i="1" s="1"/>
  <c r="U365" i="1"/>
  <c r="M365" i="1" s="1"/>
  <c r="U364" i="1"/>
  <c r="M364" i="1" s="1"/>
  <c r="U363" i="1"/>
  <c r="M363" i="1" s="1"/>
  <c r="U362" i="1"/>
  <c r="M362" i="1" s="1"/>
  <c r="U361" i="1"/>
  <c r="M361" i="1" s="1"/>
  <c r="U360" i="1"/>
  <c r="M360" i="1" s="1"/>
  <c r="U359" i="1"/>
  <c r="M359" i="1" s="1"/>
  <c r="U358" i="1"/>
  <c r="M358" i="1" s="1"/>
  <c r="U357" i="1"/>
  <c r="M357" i="1" s="1"/>
  <c r="U356" i="1"/>
  <c r="M356" i="1" s="1"/>
  <c r="U355" i="1"/>
  <c r="M355" i="1" s="1"/>
  <c r="U354" i="1"/>
  <c r="M354" i="1" s="1"/>
  <c r="K379" i="1" s="1"/>
  <c r="L379" i="1" s="1"/>
  <c r="U353" i="1"/>
  <c r="U352" i="1"/>
  <c r="U351" i="1"/>
  <c r="U350" i="1"/>
  <c r="U349" i="1"/>
  <c r="U348" i="1"/>
  <c r="U347" i="1"/>
  <c r="M347" i="1" s="1"/>
  <c r="U346" i="1"/>
  <c r="M346" i="1" s="1"/>
  <c r="U345" i="1"/>
  <c r="U344" i="1"/>
  <c r="U343" i="1"/>
  <c r="U342" i="1"/>
  <c r="M342" i="1" s="1"/>
  <c r="U341" i="1"/>
  <c r="M341" i="1" s="1"/>
  <c r="U340" i="1"/>
  <c r="M340" i="1" s="1"/>
  <c r="U339" i="1"/>
  <c r="M339" i="1" s="1"/>
  <c r="U338" i="1"/>
  <c r="M338" i="1" s="1"/>
  <c r="U337" i="1"/>
  <c r="M337" i="1" s="1"/>
  <c r="U336" i="1"/>
  <c r="M336" i="1" s="1"/>
  <c r="U335" i="1"/>
  <c r="M335" i="1" s="1"/>
  <c r="U334" i="1"/>
  <c r="M334" i="1" s="1"/>
  <c r="U333" i="1"/>
  <c r="M333" i="1" s="1"/>
  <c r="U332" i="1"/>
  <c r="M332" i="1" s="1"/>
  <c r="U331" i="1"/>
  <c r="U330" i="1"/>
  <c r="U329" i="1"/>
  <c r="U328" i="1"/>
  <c r="U327" i="1"/>
  <c r="U326" i="1"/>
  <c r="U325" i="1"/>
  <c r="U324" i="1"/>
  <c r="U323" i="1"/>
  <c r="U322" i="1"/>
  <c r="M322" i="1" s="1"/>
  <c r="U321" i="1"/>
  <c r="M321" i="1" s="1"/>
  <c r="U320" i="1"/>
  <c r="M320" i="1" s="1"/>
  <c r="U319" i="1"/>
  <c r="M319" i="1" s="1"/>
  <c r="U318" i="1"/>
  <c r="M318" i="1" s="1"/>
  <c r="U317" i="1"/>
  <c r="M317" i="1" s="1"/>
  <c r="U316" i="1"/>
  <c r="M316" i="1" s="1"/>
  <c r="U315" i="1"/>
  <c r="M315" i="1" s="1"/>
  <c r="U314" i="1"/>
  <c r="M314" i="1" s="1"/>
  <c r="U313" i="1"/>
  <c r="M313" i="1" s="1"/>
  <c r="U312" i="1"/>
  <c r="M312" i="1" s="1"/>
  <c r="U311" i="1"/>
  <c r="M311" i="1" s="1"/>
  <c r="U310" i="1"/>
  <c r="M310" i="1" s="1"/>
  <c r="U309" i="1"/>
  <c r="U308" i="1"/>
  <c r="U307" i="1"/>
  <c r="U306" i="1"/>
  <c r="U305" i="1"/>
  <c r="U304" i="1"/>
  <c r="U303" i="1"/>
  <c r="M303" i="1" s="1"/>
  <c r="U302" i="1"/>
  <c r="M302" i="1" s="1"/>
  <c r="U301" i="1"/>
  <c r="M301" i="1" s="1"/>
  <c r="U300" i="1"/>
  <c r="M300" i="1" s="1"/>
  <c r="U299" i="1"/>
  <c r="M299" i="1" s="1"/>
  <c r="U298" i="1"/>
  <c r="M298" i="1" s="1"/>
  <c r="U297" i="1"/>
  <c r="M297" i="1" s="1"/>
  <c r="U296" i="1"/>
  <c r="U295" i="1"/>
  <c r="U294" i="1"/>
  <c r="U293" i="1"/>
  <c r="M293" i="1" s="1"/>
  <c r="U292" i="1"/>
  <c r="M292" i="1" s="1"/>
  <c r="U291" i="1"/>
  <c r="M291" i="1" s="1"/>
  <c r="U290" i="1"/>
  <c r="M290" i="1" s="1"/>
  <c r="U289" i="1"/>
  <c r="M289" i="1" s="1"/>
  <c r="U288" i="1"/>
  <c r="M288" i="1" s="1"/>
  <c r="U287" i="1"/>
  <c r="U286" i="1"/>
  <c r="U285" i="1"/>
  <c r="U284" i="1"/>
  <c r="U283" i="1"/>
  <c r="U282" i="1"/>
  <c r="U281" i="1"/>
  <c r="U280" i="1"/>
  <c r="U279" i="1"/>
  <c r="U278" i="1"/>
  <c r="M278" i="1" s="1"/>
  <c r="U277" i="1"/>
  <c r="M277" i="1" s="1"/>
  <c r="U276" i="1"/>
  <c r="M276" i="1" s="1"/>
  <c r="U275" i="1"/>
  <c r="M275" i="1" s="1"/>
  <c r="U274" i="1"/>
  <c r="M274" i="1" s="1"/>
  <c r="U273" i="1"/>
  <c r="M273" i="1" s="1"/>
  <c r="U272" i="1"/>
  <c r="M272" i="1" s="1"/>
  <c r="U271" i="1"/>
  <c r="M271" i="1" s="1"/>
  <c r="U270" i="1"/>
  <c r="M270" i="1" s="1"/>
  <c r="U269" i="1"/>
  <c r="M269" i="1" s="1"/>
  <c r="U268" i="1"/>
  <c r="M268" i="1" s="1"/>
  <c r="U267" i="1"/>
  <c r="M267" i="1" s="1"/>
  <c r="U266" i="1"/>
  <c r="M266" i="1" s="1"/>
  <c r="U265" i="1"/>
  <c r="U264" i="1"/>
  <c r="M264" i="1" s="1"/>
  <c r="U263" i="1"/>
  <c r="U262" i="1"/>
  <c r="U261" i="1"/>
  <c r="U260" i="1"/>
  <c r="U259" i="1"/>
  <c r="M259" i="1" s="1"/>
  <c r="U258" i="1"/>
  <c r="U257" i="1"/>
  <c r="M257" i="1" s="1"/>
  <c r="U256" i="1"/>
  <c r="M256" i="1" s="1"/>
  <c r="U255" i="1"/>
  <c r="M255" i="1" s="1"/>
  <c r="U254" i="1"/>
  <c r="M254" i="1" s="1"/>
  <c r="U253" i="1"/>
  <c r="M253" i="1" s="1"/>
  <c r="U252" i="1"/>
  <c r="M252" i="1" s="1"/>
  <c r="U251" i="1"/>
  <c r="M251" i="1" s="1"/>
  <c r="U250" i="1"/>
  <c r="U249" i="1"/>
  <c r="U248" i="1"/>
  <c r="U247" i="1"/>
  <c r="M247" i="1" s="1"/>
  <c r="U246" i="1"/>
  <c r="M246" i="1" s="1"/>
  <c r="U245" i="1"/>
  <c r="M245" i="1" s="1"/>
  <c r="U244" i="1"/>
  <c r="M244" i="1" s="1"/>
  <c r="U243" i="1"/>
  <c r="U242" i="1"/>
  <c r="U241" i="1"/>
  <c r="U240" i="1"/>
  <c r="U239" i="1"/>
  <c r="U238" i="1"/>
  <c r="U237" i="1"/>
  <c r="U236" i="1"/>
  <c r="U235" i="1"/>
  <c r="U234" i="1"/>
  <c r="U233" i="1"/>
  <c r="M233" i="1" s="1"/>
  <c r="U232" i="1"/>
  <c r="M232" i="1" s="1"/>
  <c r="U231" i="1"/>
  <c r="M231" i="1" s="1"/>
  <c r="U230" i="1"/>
  <c r="M230" i="1" s="1"/>
  <c r="U229" i="1"/>
  <c r="M229" i="1" s="1"/>
  <c r="U228" i="1"/>
  <c r="M228" i="1" s="1"/>
  <c r="U227" i="1"/>
  <c r="M227" i="1" s="1"/>
  <c r="U226" i="1"/>
  <c r="M226" i="1" s="1"/>
  <c r="U225" i="1"/>
  <c r="M225" i="1" s="1"/>
  <c r="U224" i="1"/>
  <c r="M224" i="1" s="1"/>
  <c r="U223" i="1"/>
  <c r="M223" i="1" s="1"/>
  <c r="U222" i="1"/>
  <c r="M222" i="1" s="1"/>
  <c r="U221" i="1"/>
  <c r="U220" i="1"/>
  <c r="U219" i="1"/>
  <c r="U218" i="1"/>
  <c r="U217" i="1"/>
  <c r="U216" i="1"/>
  <c r="U215" i="1"/>
  <c r="U214" i="1"/>
  <c r="M214" i="1" s="1"/>
  <c r="U213" i="1"/>
  <c r="M213" i="1" s="1"/>
  <c r="U212" i="1"/>
  <c r="M212" i="1" s="1"/>
  <c r="U211" i="1"/>
  <c r="M211" i="1" s="1"/>
  <c r="U210" i="1"/>
  <c r="M210" i="1" s="1"/>
  <c r="U209" i="1"/>
  <c r="M209" i="1" s="1"/>
  <c r="U208" i="1"/>
  <c r="M208" i="1" s="1"/>
  <c r="U207" i="1"/>
  <c r="M207" i="1" s="1"/>
  <c r="U206" i="1"/>
  <c r="M206" i="1" s="1"/>
  <c r="U205" i="1"/>
  <c r="M205" i="1" s="1"/>
  <c r="U204" i="1"/>
  <c r="M204" i="1" s="1"/>
  <c r="U203" i="1"/>
  <c r="M203" i="1" s="1"/>
  <c r="U202" i="1"/>
  <c r="M202" i="1" s="1"/>
  <c r="U201" i="1"/>
  <c r="M201" i="1" s="1"/>
  <c r="U200" i="1"/>
  <c r="M200" i="1" s="1"/>
  <c r="U199" i="1"/>
  <c r="U198" i="1"/>
  <c r="U197" i="1"/>
  <c r="U196" i="1"/>
  <c r="U195" i="1"/>
  <c r="U194" i="1"/>
  <c r="M194" i="1" s="1"/>
  <c r="U193" i="1"/>
  <c r="M193" i="1" s="1"/>
  <c r="U192" i="1"/>
  <c r="M192" i="1" s="1"/>
  <c r="U191" i="1"/>
  <c r="M191" i="1" s="1"/>
  <c r="U190" i="1"/>
  <c r="M190" i="1" s="1"/>
  <c r="U189" i="1"/>
  <c r="M189" i="1" s="1"/>
  <c r="U188" i="1"/>
  <c r="M188" i="1" s="1"/>
  <c r="U187" i="1"/>
  <c r="M187" i="1" s="1"/>
  <c r="U186" i="1"/>
  <c r="M186" i="1" s="1"/>
  <c r="U185" i="1"/>
  <c r="M185" i="1" s="1"/>
  <c r="U184" i="1"/>
  <c r="M184" i="1" s="1"/>
  <c r="U183" i="1"/>
  <c r="U182" i="1"/>
  <c r="U181" i="1"/>
  <c r="U180" i="1"/>
  <c r="M180" i="1" s="1"/>
  <c r="U179" i="1"/>
  <c r="M179" i="1" s="1"/>
  <c r="U178" i="1"/>
  <c r="M178" i="1" s="1"/>
  <c r="U177" i="1"/>
  <c r="U176" i="1"/>
  <c r="U175" i="1"/>
  <c r="U174" i="1"/>
  <c r="U173" i="1"/>
  <c r="U172" i="1"/>
  <c r="U171" i="1"/>
  <c r="U170" i="1"/>
  <c r="M170" i="1" s="1"/>
  <c r="U169" i="1"/>
  <c r="M169" i="1" s="1"/>
  <c r="U168" i="1"/>
  <c r="M168" i="1" s="1"/>
  <c r="U167" i="1"/>
  <c r="M167" i="1" s="1"/>
  <c r="U166" i="1"/>
  <c r="M166" i="1" s="1"/>
  <c r="U165" i="1"/>
  <c r="M165" i="1" s="1"/>
  <c r="U164" i="1"/>
  <c r="M164" i="1" s="1"/>
  <c r="U163" i="1"/>
  <c r="M163" i="1" s="1"/>
  <c r="U162" i="1"/>
  <c r="M162" i="1" s="1"/>
  <c r="U161" i="1"/>
  <c r="M161" i="1" s="1"/>
  <c r="U160" i="1"/>
  <c r="M160" i="1" s="1"/>
  <c r="U159" i="1"/>
  <c r="M159" i="1" s="1"/>
  <c r="U158" i="1"/>
  <c r="M158" i="1" s="1"/>
  <c r="U157" i="1"/>
  <c r="M157" i="1" s="1"/>
  <c r="U156" i="1"/>
  <c r="M156" i="1" s="1"/>
  <c r="U155" i="1"/>
  <c r="U154" i="1"/>
  <c r="U153" i="1"/>
  <c r="U152" i="1"/>
  <c r="U151" i="1"/>
  <c r="U150" i="1"/>
  <c r="U149" i="1"/>
  <c r="U148" i="1"/>
  <c r="U147" i="1"/>
  <c r="U146" i="1"/>
  <c r="U145" i="1"/>
  <c r="U144" i="1"/>
  <c r="M144" i="1" s="1"/>
  <c r="U143" i="1"/>
  <c r="M143" i="1" s="1"/>
  <c r="U142" i="1"/>
  <c r="M142" i="1" s="1"/>
  <c r="U141" i="1"/>
  <c r="M141" i="1" s="1"/>
  <c r="U140" i="1"/>
  <c r="M140" i="1" s="1"/>
  <c r="U139" i="1"/>
  <c r="M139" i="1" s="1"/>
  <c r="U138" i="1"/>
  <c r="M138" i="1" s="1"/>
  <c r="U137" i="1"/>
  <c r="M137" i="1" s="1"/>
  <c r="U136" i="1"/>
  <c r="M136" i="1" s="1"/>
  <c r="U135" i="1"/>
  <c r="M135" i="1" s="1"/>
  <c r="U134" i="1"/>
  <c r="M134" i="1" s="1"/>
  <c r="K158" i="1" s="1"/>
  <c r="L158" i="1" s="1"/>
  <c r="U133" i="1"/>
  <c r="U132" i="1"/>
  <c r="U131" i="1"/>
  <c r="U130" i="1"/>
  <c r="U129" i="1"/>
  <c r="U128" i="1"/>
  <c r="U127" i="1"/>
  <c r="U126" i="1"/>
  <c r="U125" i="1"/>
  <c r="M125" i="1" s="1"/>
  <c r="U124" i="1"/>
  <c r="M124" i="1" s="1"/>
  <c r="U123" i="1"/>
  <c r="M123" i="1" s="1"/>
  <c r="U122" i="1"/>
  <c r="M122" i="1" s="1"/>
  <c r="U121" i="1"/>
  <c r="M121" i="1" s="1"/>
  <c r="U120" i="1"/>
  <c r="M120" i="1" s="1"/>
  <c r="U119" i="1"/>
  <c r="M119" i="1" s="1"/>
  <c r="U118" i="1"/>
  <c r="M118" i="1" s="1"/>
  <c r="U117" i="1"/>
  <c r="M117" i="1" s="1"/>
  <c r="U116" i="1"/>
  <c r="M116" i="1" s="1"/>
  <c r="U115" i="1"/>
  <c r="M115" i="1" s="1"/>
  <c r="U114" i="1"/>
  <c r="M114" i="1" s="1"/>
  <c r="U113" i="1"/>
  <c r="M113" i="1" s="1"/>
  <c r="U112" i="1"/>
  <c r="M112" i="1" s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M99" i="1" s="1"/>
  <c r="U98" i="1"/>
  <c r="M98" i="1" s="1"/>
  <c r="U97" i="1"/>
  <c r="M97" i="1" s="1"/>
  <c r="U96" i="1"/>
  <c r="M96" i="1" s="1"/>
  <c r="U95" i="1"/>
  <c r="M95" i="1" s="1"/>
  <c r="U94" i="1"/>
  <c r="M94" i="1" s="1"/>
  <c r="U93" i="1"/>
  <c r="M93" i="1" s="1"/>
  <c r="U92" i="1"/>
  <c r="M92" i="1" s="1"/>
  <c r="U91" i="1"/>
  <c r="M91" i="1" s="1"/>
  <c r="U90" i="1"/>
  <c r="M90" i="1" s="1"/>
  <c r="K119" i="1" s="1"/>
  <c r="L119" i="1" s="1"/>
  <c r="U89" i="1"/>
  <c r="U88" i="1"/>
  <c r="U87" i="1"/>
  <c r="U86" i="1"/>
  <c r="U85" i="1"/>
  <c r="U84" i="1"/>
  <c r="M84" i="1" s="1"/>
  <c r="U83" i="1"/>
  <c r="M83" i="1" s="1"/>
  <c r="U82" i="1"/>
  <c r="M82" i="1" s="1"/>
  <c r="U81" i="1"/>
  <c r="M81" i="1" s="1"/>
  <c r="U80" i="1"/>
  <c r="M80" i="1" s="1"/>
  <c r="U79" i="1"/>
  <c r="M79" i="1" s="1"/>
  <c r="U78" i="1"/>
  <c r="M78" i="1" s="1"/>
  <c r="U77" i="1"/>
  <c r="M77" i="1" s="1"/>
  <c r="U76" i="1"/>
  <c r="M76" i="1" s="1"/>
  <c r="U75" i="1"/>
  <c r="M75" i="1" s="1"/>
  <c r="U74" i="1"/>
  <c r="M74" i="1" s="1"/>
  <c r="U73" i="1"/>
  <c r="M73" i="1" s="1"/>
  <c r="U72" i="1"/>
  <c r="M72" i="1" s="1"/>
  <c r="U71" i="1"/>
  <c r="M71" i="1" s="1"/>
  <c r="U70" i="1"/>
  <c r="M70" i="1" s="1"/>
  <c r="U69" i="1"/>
  <c r="M69" i="1" s="1"/>
  <c r="U68" i="1"/>
  <c r="M68" i="1" s="1"/>
  <c r="U67" i="1"/>
  <c r="U66" i="1"/>
  <c r="U65" i="1"/>
  <c r="U64" i="1"/>
  <c r="U63" i="1"/>
  <c r="U62" i="1"/>
  <c r="U61" i="1"/>
  <c r="U60" i="1"/>
  <c r="M60" i="1" s="1"/>
  <c r="U59" i="1"/>
  <c r="M59" i="1" s="1"/>
  <c r="U58" i="1"/>
  <c r="M58" i="1" s="1"/>
  <c r="U57" i="1"/>
  <c r="M57" i="1" s="1"/>
  <c r="U56" i="1"/>
  <c r="M56" i="1" s="1"/>
  <c r="U55" i="1"/>
  <c r="U54" i="1"/>
  <c r="U53" i="1"/>
  <c r="U52" i="1"/>
  <c r="M52" i="1" s="1"/>
  <c r="U51" i="1"/>
  <c r="M51" i="1" s="1"/>
  <c r="U50" i="1"/>
  <c r="M50" i="1" s="1"/>
  <c r="U49" i="1"/>
  <c r="M49" i="1" s="1"/>
  <c r="U48" i="1"/>
  <c r="M48" i="1" s="1"/>
  <c r="U47" i="1"/>
  <c r="M47" i="1" s="1"/>
  <c r="U46" i="1"/>
  <c r="M46" i="1" s="1"/>
  <c r="K64" i="1" s="1"/>
  <c r="L64" i="1" s="1"/>
  <c r="U45" i="1"/>
  <c r="U44" i="1"/>
  <c r="U43" i="1"/>
  <c r="M43" i="1" s="1"/>
  <c r="U42" i="1"/>
  <c r="U41" i="1"/>
  <c r="U40" i="1"/>
  <c r="U39" i="1"/>
  <c r="U38" i="1"/>
  <c r="U37" i="1"/>
  <c r="U36" i="1"/>
  <c r="M36" i="1" s="1"/>
  <c r="U35" i="1"/>
  <c r="M35" i="1" s="1"/>
  <c r="U34" i="1"/>
  <c r="M34" i="1" s="1"/>
  <c r="U33" i="1"/>
  <c r="M33" i="1" s="1"/>
  <c r="U32" i="1"/>
  <c r="M32" i="1" s="1"/>
  <c r="U31" i="1"/>
  <c r="M31" i="1" s="1"/>
  <c r="U30" i="1"/>
  <c r="M30" i="1" s="1"/>
  <c r="U29" i="1"/>
  <c r="M29" i="1" s="1"/>
  <c r="U28" i="1"/>
  <c r="M28" i="1" s="1"/>
  <c r="U27" i="1"/>
  <c r="M27" i="1" s="1"/>
  <c r="U26" i="1"/>
  <c r="M26" i="1" s="1"/>
  <c r="U25" i="1"/>
  <c r="M25" i="1" s="1"/>
  <c r="U24" i="1"/>
  <c r="M24" i="1" s="1"/>
  <c r="U23" i="1"/>
  <c r="U22" i="1"/>
  <c r="U21" i="1"/>
  <c r="U20" i="1"/>
  <c r="U19" i="1"/>
  <c r="U18" i="1"/>
  <c r="U17" i="1"/>
  <c r="M17" i="1" s="1"/>
  <c r="U16" i="1"/>
  <c r="M16" i="1" s="1"/>
  <c r="U15" i="1"/>
  <c r="M15" i="1" s="1"/>
  <c r="U14" i="1"/>
  <c r="M14" i="1" s="1"/>
  <c r="U13" i="1"/>
  <c r="M13" i="1" s="1"/>
  <c r="U12" i="1"/>
  <c r="M12" i="1" s="1"/>
  <c r="U11" i="1"/>
  <c r="M11" i="1" s="1"/>
  <c r="U10" i="1"/>
  <c r="M10" i="1" s="1"/>
  <c r="U9" i="1"/>
  <c r="M9" i="1" s="1"/>
  <c r="U8" i="1"/>
  <c r="U7" i="1"/>
  <c r="M7" i="1" s="1"/>
  <c r="U6" i="1"/>
  <c r="M6" i="1" s="1"/>
  <c r="U5" i="1"/>
  <c r="M5" i="1" s="1"/>
  <c r="U4" i="1"/>
  <c r="U3" i="1"/>
  <c r="M3" i="1" s="1"/>
  <c r="M8" i="1"/>
  <c r="M18" i="1"/>
  <c r="M19" i="1"/>
  <c r="M20" i="1"/>
  <c r="M21" i="1"/>
  <c r="M22" i="1"/>
  <c r="M23" i="1"/>
  <c r="M37" i="1"/>
  <c r="M38" i="1"/>
  <c r="M39" i="1"/>
  <c r="M40" i="1"/>
  <c r="M41" i="1"/>
  <c r="M42" i="1"/>
  <c r="M44" i="1"/>
  <c r="M45" i="1"/>
  <c r="M53" i="1"/>
  <c r="M54" i="1"/>
  <c r="M55" i="1"/>
  <c r="M61" i="1"/>
  <c r="M63" i="1"/>
  <c r="M64" i="1"/>
  <c r="M65" i="1"/>
  <c r="M66" i="1"/>
  <c r="M67" i="1"/>
  <c r="M85" i="1"/>
  <c r="M86" i="1"/>
  <c r="M87" i="1"/>
  <c r="M88" i="1"/>
  <c r="M89" i="1"/>
  <c r="M109" i="1"/>
  <c r="M110" i="1"/>
  <c r="M111" i="1"/>
  <c r="M126" i="1"/>
  <c r="M127" i="1"/>
  <c r="M128" i="1"/>
  <c r="M129" i="1"/>
  <c r="M130" i="1"/>
  <c r="M131" i="1"/>
  <c r="M132" i="1"/>
  <c r="M133" i="1"/>
  <c r="M149" i="1"/>
  <c r="M150" i="1"/>
  <c r="M151" i="1"/>
  <c r="M152" i="1"/>
  <c r="M153" i="1"/>
  <c r="M154" i="1"/>
  <c r="M155" i="1"/>
  <c r="M171" i="1"/>
  <c r="M172" i="1"/>
  <c r="M173" i="1"/>
  <c r="M174" i="1"/>
  <c r="M175" i="1"/>
  <c r="M176" i="1"/>
  <c r="M177" i="1"/>
  <c r="M181" i="1"/>
  <c r="M182" i="1"/>
  <c r="M183" i="1"/>
  <c r="M195" i="1"/>
  <c r="M196" i="1"/>
  <c r="M197" i="1"/>
  <c r="M198" i="1"/>
  <c r="M199" i="1"/>
  <c r="M217" i="1"/>
  <c r="M218" i="1"/>
  <c r="M219" i="1"/>
  <c r="M220" i="1"/>
  <c r="M221" i="1"/>
  <c r="M234" i="1"/>
  <c r="M235" i="1"/>
  <c r="M236" i="1"/>
  <c r="M237" i="1"/>
  <c r="M238" i="1"/>
  <c r="M239" i="1"/>
  <c r="M240" i="1"/>
  <c r="M241" i="1"/>
  <c r="M242" i="1"/>
  <c r="M243" i="1"/>
  <c r="M260" i="1"/>
  <c r="M261" i="1"/>
  <c r="M262" i="1"/>
  <c r="M263" i="1"/>
  <c r="M265" i="1"/>
  <c r="M279" i="1"/>
  <c r="M280" i="1"/>
  <c r="M281" i="1"/>
  <c r="M282" i="1"/>
  <c r="M283" i="1"/>
  <c r="M284" i="1"/>
  <c r="M285" i="1"/>
  <c r="M286" i="1"/>
  <c r="M287" i="1"/>
  <c r="M294" i="1"/>
  <c r="M295" i="1"/>
  <c r="M296" i="1"/>
  <c r="M304" i="1"/>
  <c r="M305" i="1"/>
  <c r="M307" i="1"/>
  <c r="M308" i="1"/>
  <c r="M309" i="1"/>
  <c r="M323" i="1"/>
  <c r="M324" i="1"/>
  <c r="M325" i="1"/>
  <c r="M326" i="1"/>
  <c r="M327" i="1"/>
  <c r="M328" i="1"/>
  <c r="M329" i="1"/>
  <c r="M330" i="1"/>
  <c r="M331" i="1"/>
  <c r="M348" i="1"/>
  <c r="M349" i="1"/>
  <c r="M350" i="1"/>
  <c r="M351" i="1"/>
  <c r="M352" i="1"/>
  <c r="M353" i="1"/>
  <c r="M367" i="1"/>
  <c r="M368" i="1"/>
  <c r="M369" i="1"/>
  <c r="M370" i="1"/>
  <c r="M371" i="1"/>
  <c r="M372" i="1"/>
  <c r="M373" i="1"/>
  <c r="M375" i="1"/>
  <c r="M395" i="1"/>
  <c r="M396" i="1"/>
  <c r="M397" i="1"/>
  <c r="M412" i="1"/>
  <c r="M413" i="1"/>
  <c r="M416" i="1"/>
  <c r="M418" i="1"/>
  <c r="M419" i="1"/>
  <c r="M427" i="1"/>
  <c r="M432" i="1"/>
  <c r="M433" i="1"/>
  <c r="M434" i="1"/>
  <c r="M435" i="1"/>
  <c r="M436" i="1"/>
  <c r="M437" i="1"/>
  <c r="M438" i="1"/>
  <c r="M439" i="1"/>
  <c r="M440" i="1"/>
  <c r="M441" i="1"/>
  <c r="M460" i="1"/>
  <c r="M461" i="1"/>
  <c r="M462" i="1"/>
  <c r="M463" i="1"/>
  <c r="M473" i="1"/>
  <c r="M474" i="1"/>
  <c r="M475" i="1"/>
  <c r="M476" i="1"/>
  <c r="M477" i="1"/>
  <c r="M484" i="1"/>
  <c r="M485" i="1"/>
  <c r="M502" i="1"/>
  <c r="M503" i="1"/>
  <c r="M504" i="1"/>
  <c r="M505" i="1"/>
  <c r="M506" i="1"/>
  <c r="M507" i="1"/>
  <c r="M521" i="1"/>
  <c r="M522" i="1"/>
  <c r="M523" i="1"/>
  <c r="M527" i="1"/>
  <c r="M528" i="1"/>
  <c r="M529" i="1"/>
  <c r="M542" i="1"/>
  <c r="M543" i="1"/>
  <c r="M544" i="1"/>
  <c r="M546" i="1"/>
  <c r="M547" i="1"/>
  <c r="M548" i="1"/>
  <c r="M549" i="1"/>
  <c r="M550" i="1"/>
  <c r="M551" i="1"/>
  <c r="M565" i="1"/>
  <c r="M566" i="1"/>
  <c r="M567" i="1"/>
  <c r="M568" i="1"/>
  <c r="M569" i="1"/>
  <c r="M570" i="1"/>
  <c r="M572" i="1"/>
  <c r="M573" i="1"/>
  <c r="M587" i="1"/>
  <c r="M588" i="1"/>
  <c r="M589" i="1"/>
  <c r="M590" i="1"/>
  <c r="M591" i="1"/>
  <c r="M592" i="1"/>
  <c r="M593" i="1"/>
  <c r="M594" i="1"/>
  <c r="M595" i="1"/>
  <c r="M604" i="1"/>
  <c r="M611" i="1"/>
  <c r="M612" i="1"/>
  <c r="M613" i="1"/>
  <c r="M614" i="1"/>
  <c r="M615" i="1"/>
  <c r="M616" i="1"/>
  <c r="M617" i="1"/>
  <c r="M631" i="1"/>
  <c r="M632" i="1"/>
  <c r="M633" i="1"/>
  <c r="M634" i="1"/>
  <c r="M635" i="1"/>
  <c r="M636" i="1"/>
  <c r="M637" i="1"/>
  <c r="M638" i="1"/>
  <c r="M639" i="1"/>
  <c r="M660" i="1"/>
  <c r="M661" i="1"/>
  <c r="M665" i="1"/>
  <c r="M666" i="1"/>
  <c r="M675" i="1"/>
  <c r="M676" i="1"/>
  <c r="M677" i="1"/>
  <c r="M678" i="1"/>
  <c r="M679" i="1"/>
  <c r="M680" i="1"/>
  <c r="M681" i="1"/>
  <c r="M682" i="1"/>
  <c r="M683" i="1"/>
  <c r="M698" i="1"/>
  <c r="M699" i="1"/>
  <c r="M700" i="1"/>
  <c r="M701" i="1"/>
  <c r="M702" i="1"/>
  <c r="M703" i="1"/>
  <c r="M704" i="1"/>
  <c r="M705" i="1"/>
  <c r="M719" i="1"/>
  <c r="M724" i="1"/>
  <c r="M726" i="1"/>
  <c r="M727" i="1"/>
  <c r="M743" i="1"/>
  <c r="M744" i="1"/>
  <c r="M745" i="1"/>
  <c r="M746" i="1"/>
  <c r="M747" i="1"/>
  <c r="M748" i="1"/>
  <c r="M749" i="1"/>
  <c r="M761" i="1"/>
  <c r="M767" i="1"/>
  <c r="M768" i="1"/>
  <c r="M769" i="1"/>
  <c r="M770" i="1"/>
  <c r="M771" i="1"/>
  <c r="M786" i="1"/>
  <c r="M787" i="1"/>
  <c r="M790" i="1"/>
  <c r="M792" i="1"/>
  <c r="M793" i="1"/>
  <c r="M805" i="1"/>
  <c r="M806" i="1"/>
  <c r="M807" i="1"/>
  <c r="M810" i="1"/>
  <c r="M811" i="1"/>
  <c r="M812" i="1"/>
  <c r="M813" i="1"/>
  <c r="M814" i="1"/>
  <c r="M815" i="1"/>
  <c r="M832" i="1"/>
  <c r="M833" i="1"/>
  <c r="M834" i="1"/>
  <c r="M835" i="1"/>
  <c r="M836" i="1"/>
  <c r="M837" i="1"/>
  <c r="M483" i="1"/>
  <c r="M725" i="1"/>
  <c r="M823" i="1"/>
  <c r="U2" i="1"/>
  <c r="M2" i="1" s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2" i="1"/>
  <c r="M4" i="1"/>
  <c r="M62" i="1"/>
  <c r="M100" i="1"/>
  <c r="M101" i="1"/>
  <c r="M102" i="1"/>
  <c r="M103" i="1"/>
  <c r="M104" i="1"/>
  <c r="M105" i="1"/>
  <c r="M106" i="1"/>
  <c r="M107" i="1"/>
  <c r="M108" i="1"/>
  <c r="M145" i="1"/>
  <c r="M146" i="1"/>
  <c r="M147" i="1"/>
  <c r="M148" i="1"/>
  <c r="M215" i="1"/>
  <c r="M216" i="1"/>
  <c r="M248" i="1"/>
  <c r="M249" i="1"/>
  <c r="M250" i="1"/>
  <c r="M258" i="1"/>
  <c r="M306" i="1"/>
  <c r="M343" i="1"/>
  <c r="M344" i="1"/>
  <c r="M345" i="1"/>
  <c r="M388" i="1"/>
  <c r="M389" i="1"/>
  <c r="M390" i="1"/>
  <c r="M391" i="1"/>
  <c r="M392" i="1"/>
  <c r="M393" i="1"/>
  <c r="M394" i="1"/>
  <c r="M452" i="1"/>
  <c r="M481" i="1"/>
  <c r="M482" i="1"/>
  <c r="M489" i="1"/>
  <c r="M490" i="1"/>
  <c r="M491" i="1"/>
  <c r="M526" i="1"/>
  <c r="M561" i="1"/>
  <c r="M562" i="1"/>
  <c r="M622" i="1"/>
  <c r="M623" i="1"/>
  <c r="M624" i="1"/>
  <c r="M626" i="1"/>
  <c r="M627" i="1"/>
  <c r="M655" i="1"/>
  <c r="M656" i="1"/>
  <c r="M657" i="1"/>
  <c r="M658" i="1"/>
  <c r="M711" i="1"/>
  <c r="M712" i="1"/>
  <c r="M714" i="1"/>
  <c r="M715" i="1"/>
  <c r="M716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794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50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06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662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18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574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30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486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42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398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54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10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266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22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178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34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90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4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2" i="1"/>
  <c r="K318" i="1" l="1"/>
  <c r="L318" i="1" s="1"/>
  <c r="K336" i="1"/>
  <c r="L336" i="1" s="1"/>
  <c r="K689" i="1"/>
  <c r="L689" i="1" s="1"/>
  <c r="K678" i="1"/>
  <c r="L678" i="1" s="1"/>
  <c r="O678" i="1" s="1"/>
  <c r="K244" i="1"/>
  <c r="L244" i="1" s="1"/>
  <c r="O244" i="1" s="1"/>
  <c r="K261" i="1"/>
  <c r="L261" i="1" s="1"/>
  <c r="P261" i="1" s="1"/>
  <c r="K16" i="1"/>
  <c r="L16" i="1" s="1"/>
  <c r="K17" i="1"/>
  <c r="L17" i="1" s="1"/>
  <c r="K18" i="1"/>
  <c r="L18" i="1" s="1"/>
  <c r="K19" i="1"/>
  <c r="L19" i="1" s="1"/>
  <c r="K41" i="1"/>
  <c r="L41" i="1" s="1"/>
  <c r="K20" i="1"/>
  <c r="L20" i="1" s="1"/>
  <c r="K42" i="1"/>
  <c r="L42" i="1" s="1"/>
  <c r="K21" i="1"/>
  <c r="L21" i="1" s="1"/>
  <c r="N21" i="1" s="1"/>
  <c r="K43" i="1"/>
  <c r="L43" i="1" s="1"/>
  <c r="N43" i="1" s="1"/>
  <c r="K45" i="1"/>
  <c r="L45" i="1" s="1"/>
  <c r="K22" i="1"/>
  <c r="L22" i="1" s="1"/>
  <c r="K44" i="1"/>
  <c r="L44" i="1" s="1"/>
  <c r="K2" i="1"/>
  <c r="L2" i="1" s="1"/>
  <c r="K25" i="1"/>
  <c r="L25" i="1" s="1"/>
  <c r="N25" i="1" s="1"/>
  <c r="K23" i="1"/>
  <c r="L23" i="1" s="1"/>
  <c r="K24" i="1"/>
  <c r="L24" i="1" s="1"/>
  <c r="K3" i="1"/>
  <c r="L3" i="1" s="1"/>
  <c r="O3" i="1" s="1"/>
  <c r="K4" i="1"/>
  <c r="L4" i="1" s="1"/>
  <c r="K26" i="1"/>
  <c r="L26" i="1" s="1"/>
  <c r="K27" i="1"/>
  <c r="L27" i="1" s="1"/>
  <c r="K5" i="1"/>
  <c r="L5" i="1" s="1"/>
  <c r="K6" i="1"/>
  <c r="L6" i="1" s="1"/>
  <c r="O6" i="1" s="1"/>
  <c r="K28" i="1"/>
  <c r="L28" i="1" s="1"/>
  <c r="K7" i="1"/>
  <c r="L7" i="1" s="1"/>
  <c r="K29" i="1"/>
  <c r="L29" i="1" s="1"/>
  <c r="K8" i="1"/>
  <c r="L8" i="1" s="1"/>
  <c r="K30" i="1"/>
  <c r="L30" i="1" s="1"/>
  <c r="K31" i="1"/>
  <c r="L31" i="1" s="1"/>
  <c r="K32" i="1"/>
  <c r="L32" i="1" s="1"/>
  <c r="N32" i="1" s="1"/>
  <c r="K33" i="1"/>
  <c r="L33" i="1" s="1"/>
  <c r="K34" i="1"/>
  <c r="L34" i="1" s="1"/>
  <c r="O34" i="1" s="1"/>
  <c r="K9" i="1"/>
  <c r="L9" i="1" s="1"/>
  <c r="K10" i="1"/>
  <c r="L10" i="1" s="1"/>
  <c r="K11" i="1"/>
  <c r="L11" i="1" s="1"/>
  <c r="P11" i="1" s="1"/>
  <c r="K12" i="1"/>
  <c r="L12" i="1" s="1"/>
  <c r="K13" i="1"/>
  <c r="L13" i="1" s="1"/>
  <c r="N13" i="1" s="1"/>
  <c r="K35" i="1"/>
  <c r="L35" i="1" s="1"/>
  <c r="O35" i="1" s="1"/>
  <c r="K36" i="1"/>
  <c r="L36" i="1" s="1"/>
  <c r="P36" i="1" s="1"/>
  <c r="K39" i="1"/>
  <c r="L39" i="1" s="1"/>
  <c r="N39" i="1" s="1"/>
  <c r="K40" i="1"/>
  <c r="L40" i="1" s="1"/>
  <c r="N40" i="1" s="1"/>
  <c r="K14" i="1"/>
  <c r="L14" i="1" s="1"/>
  <c r="P14" i="1" s="1"/>
  <c r="K15" i="1"/>
  <c r="L15" i="1" s="1"/>
  <c r="O15" i="1" s="1"/>
  <c r="K37" i="1"/>
  <c r="L37" i="1" s="1"/>
  <c r="N37" i="1" s="1"/>
  <c r="K38" i="1"/>
  <c r="L38" i="1" s="1"/>
  <c r="N38" i="1" s="1"/>
  <c r="O568" i="1"/>
  <c r="P568" i="1"/>
  <c r="N568" i="1"/>
  <c r="P158" i="1"/>
  <c r="O158" i="1"/>
  <c r="N158" i="1"/>
  <c r="O754" i="1"/>
  <c r="P754" i="1"/>
  <c r="N754" i="1"/>
  <c r="O689" i="1"/>
  <c r="N689" i="1"/>
  <c r="P689" i="1"/>
  <c r="P447" i="1"/>
  <c r="N447" i="1"/>
  <c r="O447" i="1"/>
  <c r="O379" i="1"/>
  <c r="P379" i="1"/>
  <c r="N379" i="1"/>
  <c r="P64" i="1"/>
  <c r="N64" i="1"/>
  <c r="O64" i="1"/>
  <c r="O830" i="1"/>
  <c r="N830" i="1"/>
  <c r="P830" i="1"/>
  <c r="P716" i="1"/>
  <c r="N716" i="1"/>
  <c r="O716" i="1"/>
  <c r="N642" i="1"/>
  <c r="P642" i="1"/>
  <c r="O642" i="1"/>
  <c r="P577" i="1"/>
  <c r="N577" i="1"/>
  <c r="O577" i="1"/>
  <c r="P318" i="1"/>
  <c r="O318" i="1"/>
  <c r="N318" i="1"/>
  <c r="N244" i="1"/>
  <c r="P678" i="1"/>
  <c r="K258" i="1"/>
  <c r="L258" i="1" s="1"/>
  <c r="K457" i="1"/>
  <c r="L457" i="1" s="1"/>
  <c r="K737" i="1"/>
  <c r="L737" i="1" s="1"/>
  <c r="K322" i="1"/>
  <c r="L322" i="1" s="1"/>
  <c r="K607" i="1"/>
  <c r="L607" i="1" s="1"/>
  <c r="K251" i="1"/>
  <c r="L251" i="1" s="1"/>
  <c r="K455" i="1"/>
  <c r="L455" i="1" s="1"/>
  <c r="K606" i="1"/>
  <c r="L606" i="1" s="1"/>
  <c r="K172" i="1"/>
  <c r="L172" i="1" s="1"/>
  <c r="K245" i="1"/>
  <c r="L245" i="1" s="1"/>
  <c r="K380" i="1"/>
  <c r="L380" i="1" s="1"/>
  <c r="K451" i="1"/>
  <c r="L451" i="1" s="1"/>
  <c r="K605" i="1"/>
  <c r="L605" i="1" s="1"/>
  <c r="K728" i="1"/>
  <c r="L728" i="1" s="1"/>
  <c r="P119" i="1"/>
  <c r="N119" i="1"/>
  <c r="O119" i="1"/>
  <c r="K111" i="1"/>
  <c r="L111" i="1" s="1"/>
  <c r="K133" i="1"/>
  <c r="L133" i="1" s="1"/>
  <c r="K112" i="1"/>
  <c r="L112" i="1" s="1"/>
  <c r="K90" i="1"/>
  <c r="L90" i="1" s="1"/>
  <c r="K105" i="1"/>
  <c r="L105" i="1" s="1"/>
  <c r="K129" i="1"/>
  <c r="L129" i="1" s="1"/>
  <c r="K106" i="1"/>
  <c r="L106" i="1" s="1"/>
  <c r="K130" i="1"/>
  <c r="L130" i="1" s="1"/>
  <c r="K107" i="1"/>
  <c r="L107" i="1" s="1"/>
  <c r="K131" i="1"/>
  <c r="L131" i="1" s="1"/>
  <c r="K113" i="1"/>
  <c r="L113" i="1" s="1"/>
  <c r="K114" i="1"/>
  <c r="L114" i="1" s="1"/>
  <c r="K91" i="1"/>
  <c r="L91" i="1" s="1"/>
  <c r="K115" i="1"/>
  <c r="L115" i="1" s="1"/>
  <c r="K93" i="1"/>
  <c r="L93" i="1" s="1"/>
  <c r="K117" i="1"/>
  <c r="L117" i="1" s="1"/>
  <c r="K92" i="1"/>
  <c r="L92" i="1" s="1"/>
  <c r="K116" i="1"/>
  <c r="L116" i="1" s="1"/>
  <c r="K98" i="1"/>
  <c r="L98" i="1" s="1"/>
  <c r="K122" i="1"/>
  <c r="L122" i="1" s="1"/>
  <c r="K99" i="1"/>
  <c r="L99" i="1" s="1"/>
  <c r="K123" i="1"/>
  <c r="L123" i="1" s="1"/>
  <c r="K132" i="1"/>
  <c r="L132" i="1" s="1"/>
  <c r="K94" i="1"/>
  <c r="L94" i="1" s="1"/>
  <c r="K95" i="1"/>
  <c r="L95" i="1" s="1"/>
  <c r="K96" i="1"/>
  <c r="L96" i="1" s="1"/>
  <c r="K100" i="1"/>
  <c r="L100" i="1" s="1"/>
  <c r="K97" i="1"/>
  <c r="L97" i="1" s="1"/>
  <c r="K101" i="1"/>
  <c r="L101" i="1" s="1"/>
  <c r="K102" i="1"/>
  <c r="L102" i="1" s="1"/>
  <c r="K104" i="1"/>
  <c r="L104" i="1" s="1"/>
  <c r="K108" i="1"/>
  <c r="L108" i="1" s="1"/>
  <c r="K103" i="1"/>
  <c r="L103" i="1" s="1"/>
  <c r="K120" i="1"/>
  <c r="L120" i="1" s="1"/>
  <c r="K121" i="1"/>
  <c r="L121" i="1" s="1"/>
  <c r="K110" i="1"/>
  <c r="L110" i="1" s="1"/>
  <c r="K326" i="1"/>
  <c r="L326" i="1" s="1"/>
  <c r="K613" i="1"/>
  <c r="L613" i="1" s="1"/>
  <c r="K109" i="1"/>
  <c r="L109" i="1" s="1"/>
  <c r="K252" i="1"/>
  <c r="L252" i="1" s="1"/>
  <c r="K456" i="1"/>
  <c r="L456" i="1" s="1"/>
  <c r="K736" i="1"/>
  <c r="L736" i="1" s="1"/>
  <c r="K173" i="1"/>
  <c r="L173" i="1" s="1"/>
  <c r="K732" i="1"/>
  <c r="L732" i="1" s="1"/>
  <c r="K168" i="1"/>
  <c r="L168" i="1" s="1"/>
  <c r="K579" i="1"/>
  <c r="L579" i="1" s="1"/>
  <c r="K727" i="1"/>
  <c r="L727" i="1" s="1"/>
  <c r="K659" i="1"/>
  <c r="L659" i="1" s="1"/>
  <c r="P402" i="1"/>
  <c r="O402" i="1"/>
  <c r="N402" i="1"/>
  <c r="K536" i="1"/>
  <c r="L536" i="1" s="1"/>
  <c r="K487" i="1"/>
  <c r="L487" i="1" s="1"/>
  <c r="K509" i="1"/>
  <c r="L509" i="1" s="1"/>
  <c r="K492" i="1"/>
  <c r="L492" i="1" s="1"/>
  <c r="K515" i="1"/>
  <c r="L515" i="1" s="1"/>
  <c r="K506" i="1"/>
  <c r="L506" i="1" s="1"/>
  <c r="K486" i="1"/>
  <c r="L486" i="1" s="1"/>
  <c r="K507" i="1"/>
  <c r="L507" i="1" s="1"/>
  <c r="K513" i="1"/>
  <c r="L513" i="1" s="1"/>
  <c r="K488" i="1"/>
  <c r="L488" i="1" s="1"/>
  <c r="K514" i="1"/>
  <c r="L514" i="1" s="1"/>
  <c r="K489" i="1"/>
  <c r="L489" i="1" s="1"/>
  <c r="K516" i="1"/>
  <c r="L516" i="1" s="1"/>
  <c r="K494" i="1"/>
  <c r="L494" i="1" s="1"/>
  <c r="K520" i="1"/>
  <c r="L520" i="1" s="1"/>
  <c r="K495" i="1"/>
  <c r="L495" i="1" s="1"/>
  <c r="K521" i="1"/>
  <c r="L521" i="1" s="1"/>
  <c r="K496" i="1"/>
  <c r="L496" i="1" s="1"/>
  <c r="K522" i="1"/>
  <c r="L522" i="1" s="1"/>
  <c r="K498" i="1"/>
  <c r="L498" i="1" s="1"/>
  <c r="K524" i="1"/>
  <c r="L524" i="1" s="1"/>
  <c r="K497" i="1"/>
  <c r="L497" i="1" s="1"/>
  <c r="K523" i="1"/>
  <c r="L523" i="1" s="1"/>
  <c r="K503" i="1"/>
  <c r="L503" i="1" s="1"/>
  <c r="K529" i="1"/>
  <c r="L529" i="1" s="1"/>
  <c r="K504" i="1"/>
  <c r="L504" i="1" s="1"/>
  <c r="K502" i="1"/>
  <c r="L502" i="1" s="1"/>
  <c r="K505" i="1"/>
  <c r="L505" i="1" s="1"/>
  <c r="K508" i="1"/>
  <c r="L508" i="1" s="1"/>
  <c r="K510" i="1"/>
  <c r="L510" i="1" s="1"/>
  <c r="K512" i="1"/>
  <c r="L512" i="1" s="1"/>
  <c r="K511" i="1"/>
  <c r="L511" i="1" s="1"/>
  <c r="K517" i="1"/>
  <c r="L517" i="1" s="1"/>
  <c r="K518" i="1"/>
  <c r="L518" i="1" s="1"/>
  <c r="K525" i="1"/>
  <c r="L525" i="1" s="1"/>
  <c r="K526" i="1"/>
  <c r="L526" i="1" s="1"/>
  <c r="K519" i="1"/>
  <c r="L519" i="1" s="1"/>
  <c r="K490" i="1"/>
  <c r="L490" i="1" s="1"/>
  <c r="K443" i="1"/>
  <c r="L443" i="1" s="1"/>
  <c r="K465" i="1"/>
  <c r="L465" i="1" s="1"/>
  <c r="K450" i="1"/>
  <c r="L450" i="1" s="1"/>
  <c r="K473" i="1"/>
  <c r="L473" i="1" s="1"/>
  <c r="K467" i="1"/>
  <c r="L467" i="1" s="1"/>
  <c r="K444" i="1"/>
  <c r="L444" i="1" s="1"/>
  <c r="K468" i="1"/>
  <c r="L468" i="1" s="1"/>
  <c r="K452" i="1"/>
  <c r="L452" i="1" s="1"/>
  <c r="K478" i="1"/>
  <c r="L478" i="1" s="1"/>
  <c r="K453" i="1"/>
  <c r="L453" i="1" s="1"/>
  <c r="K479" i="1"/>
  <c r="L479" i="1" s="1"/>
  <c r="K454" i="1"/>
  <c r="L454" i="1" s="1"/>
  <c r="K480" i="1"/>
  <c r="L480" i="1" s="1"/>
  <c r="K458" i="1"/>
  <c r="L458" i="1" s="1"/>
  <c r="K484" i="1"/>
  <c r="L484" i="1" s="1"/>
  <c r="K459" i="1"/>
  <c r="L459" i="1" s="1"/>
  <c r="K485" i="1"/>
  <c r="L485" i="1" s="1"/>
  <c r="K460" i="1"/>
  <c r="L460" i="1" s="1"/>
  <c r="K442" i="1"/>
  <c r="L442" i="1" s="1"/>
  <c r="K462" i="1"/>
  <c r="L462" i="1" s="1"/>
  <c r="K461" i="1"/>
  <c r="L461" i="1" s="1"/>
  <c r="K470" i="1"/>
  <c r="L470" i="1" s="1"/>
  <c r="K445" i="1"/>
  <c r="L445" i="1" s="1"/>
  <c r="K471" i="1"/>
  <c r="L471" i="1" s="1"/>
  <c r="K464" i="1"/>
  <c r="L464" i="1" s="1"/>
  <c r="K466" i="1"/>
  <c r="L466" i="1" s="1"/>
  <c r="K469" i="1"/>
  <c r="L469" i="1" s="1"/>
  <c r="K472" i="1"/>
  <c r="L472" i="1" s="1"/>
  <c r="K474" i="1"/>
  <c r="L474" i="1" s="1"/>
  <c r="K475" i="1"/>
  <c r="L475" i="1" s="1"/>
  <c r="K476" i="1"/>
  <c r="L476" i="1" s="1"/>
  <c r="K477" i="1"/>
  <c r="L477" i="1" s="1"/>
  <c r="K482" i="1"/>
  <c r="L482" i="1" s="1"/>
  <c r="K483" i="1"/>
  <c r="L483" i="1" s="1"/>
  <c r="K481" i="1"/>
  <c r="L481" i="1" s="1"/>
  <c r="K448" i="1"/>
  <c r="L448" i="1" s="1"/>
  <c r="K449" i="1"/>
  <c r="L449" i="1" s="1"/>
  <c r="K399" i="1"/>
  <c r="L399" i="1" s="1"/>
  <c r="K421" i="1"/>
  <c r="L421" i="1" s="1"/>
  <c r="K408" i="1"/>
  <c r="L408" i="1" s="1"/>
  <c r="K431" i="1"/>
  <c r="L431" i="1" s="1"/>
  <c r="K403" i="1"/>
  <c r="L403" i="1" s="1"/>
  <c r="K427" i="1"/>
  <c r="L427" i="1" s="1"/>
  <c r="K404" i="1"/>
  <c r="L404" i="1" s="1"/>
  <c r="K428" i="1"/>
  <c r="L428" i="1" s="1"/>
  <c r="K416" i="1"/>
  <c r="L416" i="1" s="1"/>
  <c r="K398" i="1"/>
  <c r="L398" i="1" s="1"/>
  <c r="K417" i="1"/>
  <c r="L417" i="1" s="1"/>
  <c r="K418" i="1"/>
  <c r="L418" i="1" s="1"/>
  <c r="K423" i="1"/>
  <c r="L423" i="1" s="1"/>
  <c r="K424" i="1"/>
  <c r="L424" i="1" s="1"/>
  <c r="K425" i="1"/>
  <c r="L425" i="1" s="1"/>
  <c r="K401" i="1"/>
  <c r="L401" i="1" s="1"/>
  <c r="K429" i="1"/>
  <c r="L429" i="1" s="1"/>
  <c r="K400" i="1"/>
  <c r="L400" i="1" s="1"/>
  <c r="K426" i="1"/>
  <c r="L426" i="1" s="1"/>
  <c r="K409" i="1"/>
  <c r="L409" i="1" s="1"/>
  <c r="K435" i="1"/>
  <c r="L435" i="1" s="1"/>
  <c r="K410" i="1"/>
  <c r="L410" i="1" s="1"/>
  <c r="K436" i="1"/>
  <c r="L436" i="1" s="1"/>
  <c r="K422" i="1"/>
  <c r="L422" i="1" s="1"/>
  <c r="K432" i="1"/>
  <c r="L432" i="1" s="1"/>
  <c r="K430" i="1"/>
  <c r="L430" i="1" s="1"/>
  <c r="K433" i="1"/>
  <c r="L433" i="1" s="1"/>
  <c r="K437" i="1"/>
  <c r="L437" i="1" s="1"/>
  <c r="K434" i="1"/>
  <c r="L434" i="1" s="1"/>
  <c r="K438" i="1"/>
  <c r="L438" i="1" s="1"/>
  <c r="K439" i="1"/>
  <c r="L439" i="1" s="1"/>
  <c r="K441" i="1"/>
  <c r="L441" i="1" s="1"/>
  <c r="K440" i="1"/>
  <c r="L440" i="1" s="1"/>
  <c r="K411" i="1"/>
  <c r="L411" i="1" s="1"/>
  <c r="K412" i="1"/>
  <c r="L412" i="1" s="1"/>
  <c r="K355" i="1"/>
  <c r="L355" i="1" s="1"/>
  <c r="K377" i="1"/>
  <c r="L377" i="1" s="1"/>
  <c r="K366" i="1"/>
  <c r="L366" i="1" s="1"/>
  <c r="K389" i="1"/>
  <c r="L389" i="1" s="1"/>
  <c r="K363" i="1"/>
  <c r="L363" i="1" s="1"/>
  <c r="K387" i="1"/>
  <c r="L387" i="1" s="1"/>
  <c r="K364" i="1"/>
  <c r="L364" i="1" s="1"/>
  <c r="K388" i="1"/>
  <c r="L388" i="1" s="1"/>
  <c r="K381" i="1"/>
  <c r="L381" i="1" s="1"/>
  <c r="K356" i="1"/>
  <c r="L356" i="1" s="1"/>
  <c r="K382" i="1"/>
  <c r="L382" i="1" s="1"/>
  <c r="K357" i="1"/>
  <c r="L357" i="1" s="1"/>
  <c r="K383" i="1"/>
  <c r="L383" i="1" s="1"/>
  <c r="K361" i="1"/>
  <c r="L361" i="1" s="1"/>
  <c r="K390" i="1"/>
  <c r="L390" i="1" s="1"/>
  <c r="K362" i="1"/>
  <c r="L362" i="1" s="1"/>
  <c r="K391" i="1"/>
  <c r="L391" i="1" s="1"/>
  <c r="K365" i="1"/>
  <c r="L365" i="1" s="1"/>
  <c r="K392" i="1"/>
  <c r="L392" i="1" s="1"/>
  <c r="K368" i="1"/>
  <c r="L368" i="1" s="1"/>
  <c r="K394" i="1"/>
  <c r="L394" i="1" s="1"/>
  <c r="K367" i="1"/>
  <c r="L367" i="1" s="1"/>
  <c r="K393" i="1"/>
  <c r="L393" i="1" s="1"/>
  <c r="K373" i="1"/>
  <c r="L373" i="1" s="1"/>
  <c r="K374" i="1"/>
  <c r="L374" i="1" s="1"/>
  <c r="K384" i="1"/>
  <c r="L384" i="1" s="1"/>
  <c r="K385" i="1"/>
  <c r="L385" i="1" s="1"/>
  <c r="K386" i="1"/>
  <c r="L386" i="1" s="1"/>
  <c r="K395" i="1"/>
  <c r="L395" i="1" s="1"/>
  <c r="K397" i="1"/>
  <c r="L397" i="1" s="1"/>
  <c r="K396" i="1"/>
  <c r="L396" i="1" s="1"/>
  <c r="K354" i="1"/>
  <c r="L354" i="1" s="1"/>
  <c r="K358" i="1"/>
  <c r="L358" i="1" s="1"/>
  <c r="K371" i="1"/>
  <c r="L371" i="1" s="1"/>
  <c r="K372" i="1"/>
  <c r="L372" i="1" s="1"/>
  <c r="K311" i="1"/>
  <c r="L311" i="1" s="1"/>
  <c r="K333" i="1"/>
  <c r="L333" i="1" s="1"/>
  <c r="K324" i="1"/>
  <c r="L324" i="1" s="1"/>
  <c r="K347" i="1"/>
  <c r="L347" i="1" s="1"/>
  <c r="K323" i="1"/>
  <c r="L323" i="1" s="1"/>
  <c r="K348" i="1"/>
  <c r="L348" i="1" s="1"/>
  <c r="K325" i="1"/>
  <c r="L325" i="1" s="1"/>
  <c r="K349" i="1"/>
  <c r="L349" i="1" s="1"/>
  <c r="K319" i="1"/>
  <c r="L319" i="1" s="1"/>
  <c r="K345" i="1"/>
  <c r="L345" i="1" s="1"/>
  <c r="K320" i="1"/>
  <c r="L320" i="1" s="1"/>
  <c r="K346" i="1"/>
  <c r="L346" i="1" s="1"/>
  <c r="K321" i="1"/>
  <c r="L321" i="1" s="1"/>
  <c r="K350" i="1"/>
  <c r="L350" i="1" s="1"/>
  <c r="K328" i="1"/>
  <c r="L328" i="1" s="1"/>
  <c r="K310" i="1"/>
  <c r="L310" i="1" s="1"/>
  <c r="K329" i="1"/>
  <c r="L329" i="1" s="1"/>
  <c r="K330" i="1"/>
  <c r="L330" i="1" s="1"/>
  <c r="K332" i="1"/>
  <c r="L332" i="1" s="1"/>
  <c r="K331" i="1"/>
  <c r="L331" i="1" s="1"/>
  <c r="K312" i="1"/>
  <c r="L312" i="1" s="1"/>
  <c r="K338" i="1"/>
  <c r="L338" i="1" s="1"/>
  <c r="K313" i="1"/>
  <c r="L313" i="1" s="1"/>
  <c r="K339" i="1"/>
  <c r="L339" i="1" s="1"/>
  <c r="K343" i="1"/>
  <c r="L343" i="1" s="1"/>
  <c r="K344" i="1"/>
  <c r="L344" i="1" s="1"/>
  <c r="K351" i="1"/>
  <c r="L351" i="1" s="1"/>
  <c r="K352" i="1"/>
  <c r="L352" i="1" s="1"/>
  <c r="K353" i="1"/>
  <c r="L353" i="1" s="1"/>
  <c r="K314" i="1"/>
  <c r="L314" i="1" s="1"/>
  <c r="K316" i="1"/>
  <c r="L316" i="1" s="1"/>
  <c r="K317" i="1"/>
  <c r="L317" i="1" s="1"/>
  <c r="K315" i="1"/>
  <c r="L315" i="1" s="1"/>
  <c r="K334" i="1"/>
  <c r="L334" i="1" s="1"/>
  <c r="K335" i="1"/>
  <c r="L335" i="1" s="1"/>
  <c r="K281" i="1"/>
  <c r="L281" i="1" s="1"/>
  <c r="K303" i="1"/>
  <c r="L303" i="1" s="1"/>
  <c r="K283" i="1"/>
  <c r="L283" i="1" s="1"/>
  <c r="K306" i="1"/>
  <c r="L306" i="1" s="1"/>
  <c r="K284" i="1"/>
  <c r="L284" i="1" s="1"/>
  <c r="K307" i="1"/>
  <c r="L307" i="1" s="1"/>
  <c r="K285" i="1"/>
  <c r="L285" i="1" s="1"/>
  <c r="K266" i="1"/>
  <c r="L266" i="1" s="1"/>
  <c r="K286" i="1"/>
  <c r="L286" i="1" s="1"/>
  <c r="K287" i="1"/>
  <c r="L287" i="1" s="1"/>
  <c r="K291" i="1"/>
  <c r="L291" i="1" s="1"/>
  <c r="K267" i="1"/>
  <c r="L267" i="1" s="1"/>
  <c r="K292" i="1"/>
  <c r="L292" i="1" s="1"/>
  <c r="K268" i="1"/>
  <c r="L268" i="1" s="1"/>
  <c r="K293" i="1"/>
  <c r="L293" i="1" s="1"/>
  <c r="K270" i="1"/>
  <c r="L270" i="1" s="1"/>
  <c r="K295" i="1"/>
  <c r="L295" i="1" s="1"/>
  <c r="K269" i="1"/>
  <c r="L269" i="1" s="1"/>
  <c r="K294" i="1"/>
  <c r="L294" i="1" s="1"/>
  <c r="K275" i="1"/>
  <c r="L275" i="1" s="1"/>
  <c r="K300" i="1"/>
  <c r="L300" i="1" s="1"/>
  <c r="K276" i="1"/>
  <c r="L276" i="1" s="1"/>
  <c r="K301" i="1"/>
  <c r="L301" i="1" s="1"/>
  <c r="K304" i="1"/>
  <c r="L304" i="1" s="1"/>
  <c r="K305" i="1"/>
  <c r="L305" i="1" s="1"/>
  <c r="K308" i="1"/>
  <c r="L308" i="1" s="1"/>
  <c r="K309" i="1"/>
  <c r="L309" i="1" s="1"/>
  <c r="K271" i="1"/>
  <c r="L271" i="1" s="1"/>
  <c r="K272" i="1"/>
  <c r="L272" i="1" s="1"/>
  <c r="K273" i="1"/>
  <c r="L273" i="1" s="1"/>
  <c r="K278" i="1"/>
  <c r="L278" i="1" s="1"/>
  <c r="K274" i="1"/>
  <c r="L274" i="1" s="1"/>
  <c r="K277" i="1"/>
  <c r="L277" i="1" s="1"/>
  <c r="K289" i="1"/>
  <c r="L289" i="1" s="1"/>
  <c r="K290" i="1"/>
  <c r="L290" i="1" s="1"/>
  <c r="K237" i="1"/>
  <c r="L237" i="1" s="1"/>
  <c r="K259" i="1"/>
  <c r="L259" i="1" s="1"/>
  <c r="K241" i="1"/>
  <c r="L241" i="1" s="1"/>
  <c r="K264" i="1"/>
  <c r="L264" i="1" s="1"/>
  <c r="K242" i="1"/>
  <c r="L242" i="1" s="1"/>
  <c r="K265" i="1"/>
  <c r="L265" i="1" s="1"/>
  <c r="K247" i="1"/>
  <c r="L247" i="1" s="1"/>
  <c r="K223" i="1"/>
  <c r="L223" i="1" s="1"/>
  <c r="K248" i="1"/>
  <c r="L248" i="1" s="1"/>
  <c r="K224" i="1"/>
  <c r="L224" i="1" s="1"/>
  <c r="K249" i="1"/>
  <c r="L249" i="1" s="1"/>
  <c r="K228" i="1"/>
  <c r="L228" i="1" s="1"/>
  <c r="K253" i="1"/>
  <c r="L253" i="1" s="1"/>
  <c r="K229" i="1"/>
  <c r="L229" i="1" s="1"/>
  <c r="K254" i="1"/>
  <c r="L254" i="1" s="1"/>
  <c r="K230" i="1"/>
  <c r="L230" i="1" s="1"/>
  <c r="K255" i="1"/>
  <c r="L255" i="1" s="1"/>
  <c r="K232" i="1"/>
  <c r="L232" i="1" s="1"/>
  <c r="K257" i="1"/>
  <c r="L257" i="1" s="1"/>
  <c r="K231" i="1"/>
  <c r="L231" i="1" s="1"/>
  <c r="K256" i="1"/>
  <c r="L256" i="1" s="1"/>
  <c r="K238" i="1"/>
  <c r="L238" i="1" s="1"/>
  <c r="K263" i="1"/>
  <c r="L263" i="1" s="1"/>
  <c r="K239" i="1"/>
  <c r="L239" i="1" s="1"/>
  <c r="K222" i="1"/>
  <c r="L222" i="1" s="1"/>
  <c r="K262" i="1"/>
  <c r="L262" i="1" s="1"/>
  <c r="K226" i="1"/>
  <c r="L226" i="1" s="1"/>
  <c r="K225" i="1"/>
  <c r="L225" i="1" s="1"/>
  <c r="K227" i="1"/>
  <c r="L227" i="1" s="1"/>
  <c r="K233" i="1"/>
  <c r="L233" i="1" s="1"/>
  <c r="K235" i="1"/>
  <c r="L235" i="1" s="1"/>
  <c r="K236" i="1"/>
  <c r="L236" i="1" s="1"/>
  <c r="K234" i="1"/>
  <c r="L234" i="1" s="1"/>
  <c r="K246" i="1"/>
  <c r="L246" i="1" s="1"/>
  <c r="K250" i="1"/>
  <c r="L250" i="1" s="1"/>
  <c r="K193" i="1"/>
  <c r="L193" i="1" s="1"/>
  <c r="K199" i="1"/>
  <c r="L199" i="1" s="1"/>
  <c r="K221" i="1"/>
  <c r="L221" i="1" s="1"/>
  <c r="K200" i="1"/>
  <c r="L200" i="1" s="1"/>
  <c r="K178" i="1"/>
  <c r="L178" i="1" s="1"/>
  <c r="K184" i="1"/>
  <c r="L184" i="1" s="1"/>
  <c r="K209" i="1"/>
  <c r="L209" i="1" s="1"/>
  <c r="K185" i="1"/>
  <c r="L185" i="1" s="1"/>
  <c r="K210" i="1"/>
  <c r="L210" i="1" s="1"/>
  <c r="K186" i="1"/>
  <c r="L186" i="1" s="1"/>
  <c r="K211" i="1"/>
  <c r="L211" i="1" s="1"/>
  <c r="K190" i="1"/>
  <c r="L190" i="1" s="1"/>
  <c r="K215" i="1"/>
  <c r="L215" i="1" s="1"/>
  <c r="K191" i="1"/>
  <c r="L191" i="1" s="1"/>
  <c r="K216" i="1"/>
  <c r="L216" i="1" s="1"/>
  <c r="K192" i="1"/>
  <c r="L192" i="1" s="1"/>
  <c r="K217" i="1"/>
  <c r="L217" i="1" s="1"/>
  <c r="K195" i="1"/>
  <c r="L195" i="1" s="1"/>
  <c r="K219" i="1"/>
  <c r="L219" i="1" s="1"/>
  <c r="K194" i="1"/>
  <c r="L194" i="1" s="1"/>
  <c r="K218" i="1"/>
  <c r="L218" i="1" s="1"/>
  <c r="K202" i="1"/>
  <c r="L202" i="1" s="1"/>
  <c r="K203" i="1"/>
  <c r="L203" i="1" s="1"/>
  <c r="K179" i="1"/>
  <c r="L179" i="1" s="1"/>
  <c r="K180" i="1"/>
  <c r="L180" i="1" s="1"/>
  <c r="K181" i="1"/>
  <c r="L181" i="1" s="1"/>
  <c r="K182" i="1"/>
  <c r="L182" i="1" s="1"/>
  <c r="K183" i="1"/>
  <c r="L183" i="1" s="1"/>
  <c r="K187" i="1"/>
  <c r="L187" i="1" s="1"/>
  <c r="K188" i="1"/>
  <c r="L188" i="1" s="1"/>
  <c r="K196" i="1"/>
  <c r="L196" i="1" s="1"/>
  <c r="K197" i="1"/>
  <c r="L197" i="1" s="1"/>
  <c r="K189" i="1"/>
  <c r="L189" i="1" s="1"/>
  <c r="K206" i="1"/>
  <c r="L206" i="1" s="1"/>
  <c r="K207" i="1"/>
  <c r="L207" i="1" s="1"/>
  <c r="K118" i="1"/>
  <c r="L118" i="1" s="1"/>
  <c r="K327" i="1"/>
  <c r="L327" i="1" s="1"/>
  <c r="K535" i="1"/>
  <c r="L535" i="1" s="1"/>
  <c r="K243" i="1"/>
  <c r="L243" i="1" s="1"/>
  <c r="K378" i="1"/>
  <c r="L378" i="1" s="1"/>
  <c r="K578" i="1"/>
  <c r="L578" i="1" s="1"/>
  <c r="K719" i="1"/>
  <c r="L719" i="1" s="1"/>
  <c r="K166" i="1"/>
  <c r="L166" i="1" s="1"/>
  <c r="K376" i="1"/>
  <c r="L376" i="1" s="1"/>
  <c r="K85" i="1"/>
  <c r="L85" i="1" s="1"/>
  <c r="K161" i="1"/>
  <c r="L161" i="1" s="1"/>
  <c r="K302" i="1"/>
  <c r="L302" i="1" s="1"/>
  <c r="K527" i="1"/>
  <c r="L527" i="1" s="1"/>
  <c r="K660" i="1"/>
  <c r="L660" i="1" s="1"/>
  <c r="K717" i="1"/>
  <c r="L717" i="1" s="1"/>
  <c r="K84" i="1"/>
  <c r="L84" i="1" s="1"/>
  <c r="K160" i="1"/>
  <c r="L160" i="1" s="1"/>
  <c r="K299" i="1"/>
  <c r="L299" i="1" s="1"/>
  <c r="K370" i="1"/>
  <c r="L370" i="1" s="1"/>
  <c r="K501" i="1"/>
  <c r="L501" i="1" s="1"/>
  <c r="K81" i="1"/>
  <c r="L81" i="1" s="1"/>
  <c r="K159" i="1"/>
  <c r="L159" i="1" s="1"/>
  <c r="K298" i="1"/>
  <c r="L298" i="1" s="1"/>
  <c r="K369" i="1"/>
  <c r="L369" i="1" s="1"/>
  <c r="K649" i="1"/>
  <c r="L649" i="1" s="1"/>
  <c r="K764" i="1"/>
  <c r="L764" i="1" s="1"/>
  <c r="K297" i="1"/>
  <c r="L297" i="1" s="1"/>
  <c r="K360" i="1"/>
  <c r="L360" i="1" s="1"/>
  <c r="K499" i="1"/>
  <c r="L499" i="1" s="1"/>
  <c r="K648" i="1"/>
  <c r="L648" i="1" s="1"/>
  <c r="K763" i="1"/>
  <c r="L763" i="1" s="1"/>
  <c r="K72" i="1"/>
  <c r="L72" i="1" s="1"/>
  <c r="K220" i="1"/>
  <c r="L220" i="1" s="1"/>
  <c r="K296" i="1"/>
  <c r="L296" i="1" s="1"/>
  <c r="K359" i="1"/>
  <c r="L359" i="1" s="1"/>
  <c r="K493" i="1"/>
  <c r="L493" i="1" s="1"/>
  <c r="K647" i="1"/>
  <c r="L647" i="1" s="1"/>
  <c r="K756" i="1"/>
  <c r="L756" i="1" s="1"/>
  <c r="K71" i="1"/>
  <c r="L71" i="1" s="1"/>
  <c r="K288" i="1"/>
  <c r="L288" i="1" s="1"/>
  <c r="K420" i="1"/>
  <c r="L420" i="1" s="1"/>
  <c r="K491" i="1"/>
  <c r="L491" i="1" s="1"/>
  <c r="K755" i="1"/>
  <c r="L755" i="1" s="1"/>
  <c r="K70" i="1"/>
  <c r="L70" i="1" s="1"/>
  <c r="K213" i="1"/>
  <c r="L213" i="1" s="1"/>
  <c r="K282" i="1"/>
  <c r="L282" i="1" s="1"/>
  <c r="K419" i="1"/>
  <c r="L419" i="1" s="1"/>
  <c r="K572" i="1"/>
  <c r="L572" i="1" s="1"/>
  <c r="K700" i="1"/>
  <c r="L700" i="1" s="1"/>
  <c r="K707" i="1"/>
  <c r="L707" i="1" s="1"/>
  <c r="K729" i="1"/>
  <c r="L729" i="1" s="1"/>
  <c r="K724" i="1"/>
  <c r="L724" i="1" s="1"/>
  <c r="K747" i="1"/>
  <c r="L747" i="1" s="1"/>
  <c r="K721" i="1"/>
  <c r="L721" i="1" s="1"/>
  <c r="K745" i="1"/>
  <c r="L745" i="1" s="1"/>
  <c r="K722" i="1"/>
  <c r="L722" i="1" s="1"/>
  <c r="K746" i="1"/>
  <c r="L746" i="1" s="1"/>
  <c r="K730" i="1"/>
  <c r="L730" i="1" s="1"/>
  <c r="K731" i="1"/>
  <c r="L731" i="1" s="1"/>
  <c r="K733" i="1"/>
  <c r="L733" i="1" s="1"/>
  <c r="K734" i="1"/>
  <c r="L734" i="1" s="1"/>
  <c r="K735" i="1"/>
  <c r="L735" i="1" s="1"/>
  <c r="K708" i="1"/>
  <c r="L708" i="1" s="1"/>
  <c r="K711" i="1"/>
  <c r="L711" i="1" s="1"/>
  <c r="K739" i="1"/>
  <c r="L739" i="1" s="1"/>
  <c r="K712" i="1"/>
  <c r="L712" i="1" s="1"/>
  <c r="K740" i="1"/>
  <c r="L740" i="1" s="1"/>
  <c r="K713" i="1"/>
  <c r="L713" i="1" s="1"/>
  <c r="K741" i="1"/>
  <c r="L741" i="1" s="1"/>
  <c r="K715" i="1"/>
  <c r="L715" i="1" s="1"/>
  <c r="K743" i="1"/>
  <c r="L743" i="1" s="1"/>
  <c r="K714" i="1"/>
  <c r="L714" i="1" s="1"/>
  <c r="K742" i="1"/>
  <c r="L742" i="1" s="1"/>
  <c r="K720" i="1"/>
  <c r="L720" i="1" s="1"/>
  <c r="K723" i="1"/>
  <c r="L723" i="1" s="1"/>
  <c r="K738" i="1"/>
  <c r="L738" i="1" s="1"/>
  <c r="K744" i="1"/>
  <c r="L744" i="1" s="1"/>
  <c r="K748" i="1"/>
  <c r="L748" i="1" s="1"/>
  <c r="K749" i="1"/>
  <c r="L749" i="1" s="1"/>
  <c r="K706" i="1"/>
  <c r="L706" i="1" s="1"/>
  <c r="K710" i="1"/>
  <c r="L710" i="1" s="1"/>
  <c r="K709" i="1"/>
  <c r="L709" i="1" s="1"/>
  <c r="K725" i="1"/>
  <c r="L725" i="1" s="1"/>
  <c r="K726" i="1"/>
  <c r="L726" i="1" s="1"/>
  <c r="K260" i="1"/>
  <c r="L260" i="1" s="1"/>
  <c r="K212" i="1"/>
  <c r="L212" i="1" s="1"/>
  <c r="K280" i="1"/>
  <c r="L280" i="1" s="1"/>
  <c r="K415" i="1"/>
  <c r="L415" i="1" s="1"/>
  <c r="K569" i="1"/>
  <c r="L569" i="1" s="1"/>
  <c r="K699" i="1"/>
  <c r="L699" i="1" s="1"/>
  <c r="K836" i="1"/>
  <c r="L836" i="1" s="1"/>
  <c r="K619" i="1"/>
  <c r="L619" i="1" s="1"/>
  <c r="K641" i="1"/>
  <c r="L641" i="1" s="1"/>
  <c r="K640" i="1"/>
  <c r="L640" i="1" s="1"/>
  <c r="K620" i="1"/>
  <c r="L620" i="1" s="1"/>
  <c r="K644" i="1"/>
  <c r="L644" i="1" s="1"/>
  <c r="K626" i="1"/>
  <c r="L626" i="1" s="1"/>
  <c r="K650" i="1"/>
  <c r="L650" i="1" s="1"/>
  <c r="K627" i="1"/>
  <c r="L627" i="1" s="1"/>
  <c r="K651" i="1"/>
  <c r="L651" i="1" s="1"/>
  <c r="K643" i="1"/>
  <c r="L643" i="1" s="1"/>
  <c r="K645" i="1"/>
  <c r="L645" i="1" s="1"/>
  <c r="K646" i="1"/>
  <c r="L646" i="1" s="1"/>
  <c r="K623" i="1"/>
  <c r="L623" i="1" s="1"/>
  <c r="K652" i="1"/>
  <c r="L652" i="1" s="1"/>
  <c r="K624" i="1"/>
  <c r="L624" i="1" s="1"/>
  <c r="K653" i="1"/>
  <c r="L653" i="1" s="1"/>
  <c r="K625" i="1"/>
  <c r="L625" i="1" s="1"/>
  <c r="K654" i="1"/>
  <c r="L654" i="1" s="1"/>
  <c r="K629" i="1"/>
  <c r="L629" i="1" s="1"/>
  <c r="K656" i="1"/>
  <c r="L656" i="1" s="1"/>
  <c r="K628" i="1"/>
  <c r="L628" i="1" s="1"/>
  <c r="K655" i="1"/>
  <c r="L655" i="1" s="1"/>
  <c r="K634" i="1"/>
  <c r="L634" i="1" s="1"/>
  <c r="K661" i="1"/>
  <c r="L661" i="1" s="1"/>
  <c r="K635" i="1"/>
  <c r="L635" i="1" s="1"/>
  <c r="K618" i="1"/>
  <c r="L618" i="1" s="1"/>
  <c r="K621" i="1"/>
  <c r="L621" i="1" s="1"/>
  <c r="K622" i="1"/>
  <c r="L622" i="1" s="1"/>
  <c r="K630" i="1"/>
  <c r="L630" i="1" s="1"/>
  <c r="K631" i="1"/>
  <c r="L631" i="1" s="1"/>
  <c r="K632" i="1"/>
  <c r="L632" i="1" s="1"/>
  <c r="K633" i="1"/>
  <c r="L633" i="1" s="1"/>
  <c r="K636" i="1"/>
  <c r="L636" i="1" s="1"/>
  <c r="K638" i="1"/>
  <c r="L638" i="1" s="1"/>
  <c r="K639" i="1"/>
  <c r="L639" i="1" s="1"/>
  <c r="K637" i="1"/>
  <c r="L637" i="1" s="1"/>
  <c r="K657" i="1"/>
  <c r="L657" i="1" s="1"/>
  <c r="K658" i="1"/>
  <c r="L658" i="1" s="1"/>
  <c r="K128" i="1"/>
  <c r="L128" i="1" s="1"/>
  <c r="K208" i="1"/>
  <c r="L208" i="1" s="1"/>
  <c r="K279" i="1"/>
  <c r="L279" i="1" s="1"/>
  <c r="K414" i="1"/>
  <c r="L414" i="1" s="1"/>
  <c r="K698" i="1"/>
  <c r="L698" i="1" s="1"/>
  <c r="K835" i="1"/>
  <c r="L835" i="1" s="1"/>
  <c r="K531" i="1"/>
  <c r="L531" i="1" s="1"/>
  <c r="K553" i="1"/>
  <c r="L553" i="1" s="1"/>
  <c r="K534" i="1"/>
  <c r="L534" i="1" s="1"/>
  <c r="K557" i="1"/>
  <c r="L557" i="1" s="1"/>
  <c r="K546" i="1"/>
  <c r="L546" i="1" s="1"/>
  <c r="K570" i="1"/>
  <c r="L570" i="1" s="1"/>
  <c r="K547" i="1"/>
  <c r="L547" i="1" s="1"/>
  <c r="K571" i="1"/>
  <c r="L571" i="1" s="1"/>
  <c r="K548" i="1"/>
  <c r="L548" i="1" s="1"/>
  <c r="K530" i="1"/>
  <c r="L530" i="1" s="1"/>
  <c r="K549" i="1"/>
  <c r="L549" i="1" s="1"/>
  <c r="K550" i="1"/>
  <c r="L550" i="1" s="1"/>
  <c r="K555" i="1"/>
  <c r="L555" i="1" s="1"/>
  <c r="K556" i="1"/>
  <c r="L556" i="1" s="1"/>
  <c r="K558" i="1"/>
  <c r="L558" i="1" s="1"/>
  <c r="K533" i="1"/>
  <c r="L533" i="1" s="1"/>
  <c r="K560" i="1"/>
  <c r="L560" i="1" s="1"/>
  <c r="K532" i="1"/>
  <c r="L532" i="1" s="1"/>
  <c r="K559" i="1"/>
  <c r="L559" i="1" s="1"/>
  <c r="K539" i="1"/>
  <c r="L539" i="1" s="1"/>
  <c r="K565" i="1"/>
  <c r="L565" i="1" s="1"/>
  <c r="K540" i="1"/>
  <c r="L540" i="1" s="1"/>
  <c r="K566" i="1"/>
  <c r="L566" i="1" s="1"/>
  <c r="K542" i="1"/>
  <c r="L542" i="1" s="1"/>
  <c r="K543" i="1"/>
  <c r="L543" i="1" s="1"/>
  <c r="K544" i="1"/>
  <c r="L544" i="1" s="1"/>
  <c r="K545" i="1"/>
  <c r="L545" i="1" s="1"/>
  <c r="K552" i="1"/>
  <c r="L552" i="1" s="1"/>
  <c r="K551" i="1"/>
  <c r="L551" i="1" s="1"/>
  <c r="K554" i="1"/>
  <c r="L554" i="1" s="1"/>
  <c r="K561" i="1"/>
  <c r="L561" i="1" s="1"/>
  <c r="K563" i="1"/>
  <c r="L563" i="1" s="1"/>
  <c r="K564" i="1"/>
  <c r="L564" i="1" s="1"/>
  <c r="K562" i="1"/>
  <c r="L562" i="1" s="1"/>
  <c r="K573" i="1"/>
  <c r="L573" i="1" s="1"/>
  <c r="K127" i="1"/>
  <c r="L127" i="1" s="1"/>
  <c r="K205" i="1"/>
  <c r="L205" i="1" s="1"/>
  <c r="K342" i="1"/>
  <c r="L342" i="1" s="1"/>
  <c r="K413" i="1"/>
  <c r="L413" i="1" s="1"/>
  <c r="K567" i="1"/>
  <c r="L567" i="1" s="1"/>
  <c r="K697" i="1"/>
  <c r="L697" i="1" s="1"/>
  <c r="K832" i="1"/>
  <c r="L832" i="1" s="1"/>
  <c r="K575" i="1"/>
  <c r="L575" i="1" s="1"/>
  <c r="K597" i="1"/>
  <c r="L597" i="1" s="1"/>
  <c r="K576" i="1"/>
  <c r="L576" i="1" s="1"/>
  <c r="K599" i="1"/>
  <c r="L599" i="1" s="1"/>
  <c r="K586" i="1"/>
  <c r="L586" i="1" s="1"/>
  <c r="K610" i="1"/>
  <c r="L610" i="1" s="1"/>
  <c r="K587" i="1"/>
  <c r="L587" i="1" s="1"/>
  <c r="K611" i="1"/>
  <c r="L611" i="1" s="1"/>
  <c r="K582" i="1"/>
  <c r="L582" i="1" s="1"/>
  <c r="K608" i="1"/>
  <c r="L608" i="1" s="1"/>
  <c r="K583" i="1"/>
  <c r="L583" i="1" s="1"/>
  <c r="K609" i="1"/>
  <c r="L609" i="1" s="1"/>
  <c r="K584" i="1"/>
  <c r="L584" i="1" s="1"/>
  <c r="K612" i="1"/>
  <c r="L612" i="1" s="1"/>
  <c r="K590" i="1"/>
  <c r="L590" i="1" s="1"/>
  <c r="K616" i="1"/>
  <c r="L616" i="1" s="1"/>
  <c r="K591" i="1"/>
  <c r="L591" i="1" s="1"/>
  <c r="K617" i="1"/>
  <c r="L617" i="1" s="1"/>
  <c r="K592" i="1"/>
  <c r="L592" i="1" s="1"/>
  <c r="K574" i="1"/>
  <c r="L574" i="1" s="1"/>
  <c r="K594" i="1"/>
  <c r="L594" i="1" s="1"/>
  <c r="K593" i="1"/>
  <c r="L593" i="1" s="1"/>
  <c r="K601" i="1"/>
  <c r="L601" i="1" s="1"/>
  <c r="K602" i="1"/>
  <c r="L602" i="1" s="1"/>
  <c r="K580" i="1"/>
  <c r="L580" i="1" s="1"/>
  <c r="K581" i="1"/>
  <c r="L581" i="1" s="1"/>
  <c r="K585" i="1"/>
  <c r="L585" i="1" s="1"/>
  <c r="K588" i="1"/>
  <c r="L588" i="1" s="1"/>
  <c r="K595" i="1"/>
  <c r="L595" i="1" s="1"/>
  <c r="K589" i="1"/>
  <c r="L589" i="1" s="1"/>
  <c r="K596" i="1"/>
  <c r="L596" i="1" s="1"/>
  <c r="K598" i="1"/>
  <c r="L598" i="1" s="1"/>
  <c r="K603" i="1"/>
  <c r="L603" i="1" s="1"/>
  <c r="K604" i="1"/>
  <c r="L604" i="1" s="1"/>
  <c r="K600" i="1"/>
  <c r="L600" i="1" s="1"/>
  <c r="K614" i="1"/>
  <c r="L614" i="1" s="1"/>
  <c r="K615" i="1"/>
  <c r="L615" i="1" s="1"/>
  <c r="K126" i="1"/>
  <c r="L126" i="1" s="1"/>
  <c r="K204" i="1"/>
  <c r="L204" i="1" s="1"/>
  <c r="K341" i="1"/>
  <c r="L341" i="1" s="1"/>
  <c r="K407" i="1"/>
  <c r="L407" i="1" s="1"/>
  <c r="K541" i="1"/>
  <c r="L541" i="1" s="1"/>
  <c r="K696" i="1"/>
  <c r="L696" i="1" s="1"/>
  <c r="K125" i="1"/>
  <c r="L125" i="1" s="1"/>
  <c r="K201" i="1"/>
  <c r="L201" i="1" s="1"/>
  <c r="K406" i="1"/>
  <c r="L406" i="1" s="1"/>
  <c r="K538" i="1"/>
  <c r="L538" i="1" s="1"/>
  <c r="P336" i="1"/>
  <c r="O336" i="1"/>
  <c r="N336" i="1"/>
  <c r="K816" i="1"/>
  <c r="L816" i="1" s="1"/>
  <c r="K795" i="1"/>
  <c r="L795" i="1" s="1"/>
  <c r="K817" i="1"/>
  <c r="L817" i="1" s="1"/>
  <c r="K807" i="1"/>
  <c r="L807" i="1" s="1"/>
  <c r="K831" i="1"/>
  <c r="L831" i="1" s="1"/>
  <c r="K800" i="1"/>
  <c r="L800" i="1" s="1"/>
  <c r="K825" i="1"/>
  <c r="L825" i="1" s="1"/>
  <c r="K801" i="1"/>
  <c r="L801" i="1" s="1"/>
  <c r="K826" i="1"/>
  <c r="L826" i="1" s="1"/>
  <c r="K804" i="1"/>
  <c r="L804" i="1" s="1"/>
  <c r="K829" i="1"/>
  <c r="L829" i="1" s="1"/>
  <c r="K808" i="1"/>
  <c r="L808" i="1" s="1"/>
  <c r="K833" i="1"/>
  <c r="L833" i="1" s="1"/>
  <c r="K809" i="1"/>
  <c r="L809" i="1" s="1"/>
  <c r="K834" i="1"/>
  <c r="L834" i="1" s="1"/>
  <c r="K814" i="1"/>
  <c r="L814" i="1" s="1"/>
  <c r="K815" i="1"/>
  <c r="L815" i="1" s="1"/>
  <c r="K818" i="1"/>
  <c r="L818" i="1" s="1"/>
  <c r="K819" i="1"/>
  <c r="L819" i="1" s="1"/>
  <c r="K822" i="1"/>
  <c r="L822" i="1" s="1"/>
  <c r="K823" i="1"/>
  <c r="L823" i="1" s="1"/>
  <c r="K824" i="1"/>
  <c r="L824" i="1" s="1"/>
  <c r="K828" i="1"/>
  <c r="L828" i="1" s="1"/>
  <c r="K827" i="1"/>
  <c r="L827" i="1" s="1"/>
  <c r="K796" i="1"/>
  <c r="L796" i="1" s="1"/>
  <c r="K803" i="1"/>
  <c r="L803" i="1" s="1"/>
  <c r="K837" i="1"/>
  <c r="L837" i="1" s="1"/>
  <c r="K805" i="1"/>
  <c r="L805" i="1" s="1"/>
  <c r="K794" i="1"/>
  <c r="L794" i="1" s="1"/>
  <c r="K797" i="1"/>
  <c r="L797" i="1" s="1"/>
  <c r="K798" i="1"/>
  <c r="L798" i="1" s="1"/>
  <c r="K799" i="1"/>
  <c r="L799" i="1" s="1"/>
  <c r="K802" i="1"/>
  <c r="L802" i="1" s="1"/>
  <c r="K806" i="1"/>
  <c r="L806" i="1" s="1"/>
  <c r="K810" i="1"/>
  <c r="L810" i="1" s="1"/>
  <c r="K811" i="1"/>
  <c r="L811" i="1" s="1"/>
  <c r="K812" i="1"/>
  <c r="L812" i="1" s="1"/>
  <c r="K820" i="1"/>
  <c r="L820" i="1" s="1"/>
  <c r="K821" i="1"/>
  <c r="L821" i="1" s="1"/>
  <c r="K813" i="1"/>
  <c r="L813" i="1" s="1"/>
  <c r="K751" i="1"/>
  <c r="L751" i="1" s="1"/>
  <c r="K773" i="1"/>
  <c r="L773" i="1" s="1"/>
  <c r="K766" i="1"/>
  <c r="L766" i="1" s="1"/>
  <c r="K789" i="1"/>
  <c r="L789" i="1" s="1"/>
  <c r="K761" i="1"/>
  <c r="L761" i="1" s="1"/>
  <c r="K785" i="1"/>
  <c r="L785" i="1" s="1"/>
  <c r="K762" i="1"/>
  <c r="L762" i="1" s="1"/>
  <c r="K786" i="1"/>
  <c r="L786" i="1" s="1"/>
  <c r="K765" i="1"/>
  <c r="L765" i="1" s="1"/>
  <c r="K790" i="1"/>
  <c r="L790" i="1" s="1"/>
  <c r="K769" i="1"/>
  <c r="L769" i="1" s="1"/>
  <c r="K793" i="1"/>
  <c r="L793" i="1" s="1"/>
  <c r="K770" i="1"/>
  <c r="L770" i="1" s="1"/>
  <c r="K750" i="1"/>
  <c r="L750" i="1" s="1"/>
  <c r="K757" i="1"/>
  <c r="L757" i="1" s="1"/>
  <c r="K788" i="1"/>
  <c r="L788" i="1" s="1"/>
  <c r="K758" i="1"/>
  <c r="L758" i="1" s="1"/>
  <c r="K791" i="1"/>
  <c r="L791" i="1" s="1"/>
  <c r="K759" i="1"/>
  <c r="L759" i="1" s="1"/>
  <c r="K792" i="1"/>
  <c r="L792" i="1" s="1"/>
  <c r="K760" i="1"/>
  <c r="L760" i="1" s="1"/>
  <c r="K767" i="1"/>
  <c r="L767" i="1" s="1"/>
  <c r="K768" i="1"/>
  <c r="L768" i="1" s="1"/>
  <c r="K771" i="1"/>
  <c r="L771" i="1" s="1"/>
  <c r="K772" i="1"/>
  <c r="L772" i="1" s="1"/>
  <c r="K774" i="1"/>
  <c r="L774" i="1" s="1"/>
  <c r="K779" i="1"/>
  <c r="L779" i="1" s="1"/>
  <c r="K780" i="1"/>
  <c r="L780" i="1" s="1"/>
  <c r="K775" i="1"/>
  <c r="L775" i="1" s="1"/>
  <c r="K776" i="1"/>
  <c r="L776" i="1" s="1"/>
  <c r="K777" i="1"/>
  <c r="L777" i="1" s="1"/>
  <c r="K778" i="1"/>
  <c r="L778" i="1" s="1"/>
  <c r="K782" i="1"/>
  <c r="L782" i="1" s="1"/>
  <c r="K781" i="1"/>
  <c r="L781" i="1" s="1"/>
  <c r="K783" i="1"/>
  <c r="L783" i="1" s="1"/>
  <c r="K784" i="1"/>
  <c r="L784" i="1" s="1"/>
  <c r="K787" i="1"/>
  <c r="L787" i="1" s="1"/>
  <c r="K752" i="1"/>
  <c r="L752" i="1" s="1"/>
  <c r="K753" i="1"/>
  <c r="L753" i="1" s="1"/>
  <c r="K663" i="1"/>
  <c r="L663" i="1" s="1"/>
  <c r="K685" i="1"/>
  <c r="L685" i="1" s="1"/>
  <c r="K682" i="1"/>
  <c r="L682" i="1" s="1"/>
  <c r="K705" i="1"/>
  <c r="L705" i="1" s="1"/>
  <c r="K681" i="1"/>
  <c r="L681" i="1" s="1"/>
  <c r="K662" i="1"/>
  <c r="L662" i="1" s="1"/>
  <c r="K683" i="1"/>
  <c r="L683" i="1" s="1"/>
  <c r="K666" i="1"/>
  <c r="L666" i="1" s="1"/>
  <c r="K690" i="1"/>
  <c r="L690" i="1" s="1"/>
  <c r="K667" i="1"/>
  <c r="L667" i="1" s="1"/>
  <c r="K691" i="1"/>
  <c r="L691" i="1" s="1"/>
  <c r="K673" i="1"/>
  <c r="L673" i="1" s="1"/>
  <c r="K701" i="1"/>
  <c r="L701" i="1" s="1"/>
  <c r="K674" i="1"/>
  <c r="L674" i="1" s="1"/>
  <c r="K702" i="1"/>
  <c r="L702" i="1" s="1"/>
  <c r="K675" i="1"/>
  <c r="L675" i="1" s="1"/>
  <c r="K703" i="1"/>
  <c r="L703" i="1" s="1"/>
  <c r="K679" i="1"/>
  <c r="L679" i="1" s="1"/>
  <c r="K680" i="1"/>
  <c r="L680" i="1" s="1"/>
  <c r="K684" i="1"/>
  <c r="L684" i="1" s="1"/>
  <c r="K687" i="1"/>
  <c r="L687" i="1" s="1"/>
  <c r="K686" i="1"/>
  <c r="L686" i="1" s="1"/>
  <c r="K664" i="1"/>
  <c r="L664" i="1" s="1"/>
  <c r="K694" i="1"/>
  <c r="L694" i="1" s="1"/>
  <c r="K665" i="1"/>
  <c r="L665" i="1" s="1"/>
  <c r="K695" i="1"/>
  <c r="L695" i="1" s="1"/>
  <c r="K704" i="1"/>
  <c r="L704" i="1" s="1"/>
  <c r="K668" i="1"/>
  <c r="L668" i="1" s="1"/>
  <c r="K669" i="1"/>
  <c r="L669" i="1" s="1"/>
  <c r="K670" i="1"/>
  <c r="L670" i="1" s="1"/>
  <c r="K672" i="1"/>
  <c r="L672" i="1" s="1"/>
  <c r="K676" i="1"/>
  <c r="L676" i="1" s="1"/>
  <c r="K671" i="1"/>
  <c r="L671" i="1" s="1"/>
  <c r="K692" i="1"/>
  <c r="L692" i="1" s="1"/>
  <c r="K693" i="1"/>
  <c r="L693" i="1" s="1"/>
  <c r="K155" i="1"/>
  <c r="L155" i="1" s="1"/>
  <c r="K177" i="1"/>
  <c r="L177" i="1" s="1"/>
  <c r="K156" i="1"/>
  <c r="L156" i="1" s="1"/>
  <c r="K134" i="1"/>
  <c r="L134" i="1" s="1"/>
  <c r="K145" i="1"/>
  <c r="L145" i="1" s="1"/>
  <c r="K169" i="1"/>
  <c r="L169" i="1" s="1"/>
  <c r="K146" i="1"/>
  <c r="L146" i="1" s="1"/>
  <c r="K170" i="1"/>
  <c r="L170" i="1" s="1"/>
  <c r="K147" i="1"/>
  <c r="L147" i="1" s="1"/>
  <c r="K171" i="1"/>
  <c r="L171" i="1" s="1"/>
  <c r="K151" i="1"/>
  <c r="L151" i="1" s="1"/>
  <c r="K175" i="1"/>
  <c r="L175" i="1" s="1"/>
  <c r="K152" i="1"/>
  <c r="L152" i="1" s="1"/>
  <c r="K176" i="1"/>
  <c r="L176" i="1" s="1"/>
  <c r="K153" i="1"/>
  <c r="L153" i="1" s="1"/>
  <c r="K157" i="1"/>
  <c r="L157" i="1" s="1"/>
  <c r="K154" i="1"/>
  <c r="L154" i="1" s="1"/>
  <c r="K138" i="1"/>
  <c r="L138" i="1" s="1"/>
  <c r="K162" i="1"/>
  <c r="L162" i="1" s="1"/>
  <c r="K139" i="1"/>
  <c r="L139" i="1" s="1"/>
  <c r="K163" i="1"/>
  <c r="L163" i="1" s="1"/>
  <c r="K135" i="1"/>
  <c r="L135" i="1" s="1"/>
  <c r="K174" i="1"/>
  <c r="L174" i="1" s="1"/>
  <c r="K136" i="1"/>
  <c r="L136" i="1" s="1"/>
  <c r="K137" i="1"/>
  <c r="L137" i="1" s="1"/>
  <c r="K140" i="1"/>
  <c r="L140" i="1" s="1"/>
  <c r="K142" i="1"/>
  <c r="L142" i="1" s="1"/>
  <c r="K141" i="1"/>
  <c r="L141" i="1" s="1"/>
  <c r="K143" i="1"/>
  <c r="L143" i="1" s="1"/>
  <c r="K144" i="1"/>
  <c r="L144" i="1" s="1"/>
  <c r="K149" i="1"/>
  <c r="L149" i="1" s="1"/>
  <c r="K150" i="1"/>
  <c r="L150" i="1" s="1"/>
  <c r="K148" i="1"/>
  <c r="L148" i="1" s="1"/>
  <c r="K164" i="1"/>
  <c r="L164" i="1" s="1"/>
  <c r="K165" i="1"/>
  <c r="L165" i="1" s="1"/>
  <c r="K67" i="1"/>
  <c r="L67" i="1" s="1"/>
  <c r="K89" i="1"/>
  <c r="L89" i="1" s="1"/>
  <c r="K68" i="1"/>
  <c r="L68" i="1" s="1"/>
  <c r="K46" i="1"/>
  <c r="L46" i="1" s="1"/>
  <c r="K65" i="1"/>
  <c r="L65" i="1" s="1"/>
  <c r="K66" i="1"/>
  <c r="L66" i="1" s="1"/>
  <c r="K69" i="1"/>
  <c r="L69" i="1" s="1"/>
  <c r="K49" i="1"/>
  <c r="L49" i="1" s="1"/>
  <c r="K73" i="1"/>
  <c r="L73" i="1" s="1"/>
  <c r="K50" i="1"/>
  <c r="L50" i="1" s="1"/>
  <c r="K74" i="1"/>
  <c r="L74" i="1" s="1"/>
  <c r="K51" i="1"/>
  <c r="L51" i="1" s="1"/>
  <c r="K75" i="1"/>
  <c r="L75" i="1" s="1"/>
  <c r="K53" i="1"/>
  <c r="L53" i="1" s="1"/>
  <c r="K77" i="1"/>
  <c r="L77" i="1" s="1"/>
  <c r="K52" i="1"/>
  <c r="L52" i="1" s="1"/>
  <c r="K76" i="1"/>
  <c r="L76" i="1" s="1"/>
  <c r="K58" i="1"/>
  <c r="L58" i="1" s="1"/>
  <c r="K82" i="1"/>
  <c r="L82" i="1" s="1"/>
  <c r="K59" i="1"/>
  <c r="L59" i="1" s="1"/>
  <c r="K83" i="1"/>
  <c r="L83" i="1" s="1"/>
  <c r="K87" i="1"/>
  <c r="L87" i="1" s="1"/>
  <c r="K47" i="1"/>
  <c r="L47" i="1" s="1"/>
  <c r="K88" i="1"/>
  <c r="L88" i="1" s="1"/>
  <c r="K48" i="1"/>
  <c r="L48" i="1" s="1"/>
  <c r="K54" i="1"/>
  <c r="L54" i="1" s="1"/>
  <c r="K56" i="1"/>
  <c r="L56" i="1" s="1"/>
  <c r="K55" i="1"/>
  <c r="L55" i="1" s="1"/>
  <c r="K57" i="1"/>
  <c r="L57" i="1" s="1"/>
  <c r="K60" i="1"/>
  <c r="L60" i="1" s="1"/>
  <c r="K62" i="1"/>
  <c r="L62" i="1" s="1"/>
  <c r="K63" i="1"/>
  <c r="L63" i="1" s="1"/>
  <c r="K61" i="1"/>
  <c r="L61" i="1" s="1"/>
  <c r="K78" i="1"/>
  <c r="L78" i="1" s="1"/>
  <c r="K79" i="1"/>
  <c r="L79" i="1" s="1"/>
  <c r="K463" i="1"/>
  <c r="L463" i="1" s="1"/>
  <c r="K677" i="1"/>
  <c r="L677" i="1" s="1"/>
  <c r="K167" i="1"/>
  <c r="L167" i="1" s="1"/>
  <c r="K446" i="1"/>
  <c r="L446" i="1" s="1"/>
  <c r="K86" i="1"/>
  <c r="L86" i="1" s="1"/>
  <c r="K240" i="1"/>
  <c r="L240" i="1" s="1"/>
  <c r="K528" i="1"/>
  <c r="L528" i="1" s="1"/>
  <c r="K718" i="1"/>
  <c r="L718" i="1" s="1"/>
  <c r="K375" i="1"/>
  <c r="L375" i="1" s="1"/>
  <c r="K500" i="1"/>
  <c r="L500" i="1" s="1"/>
  <c r="K80" i="1"/>
  <c r="L80" i="1" s="1"/>
  <c r="K214" i="1"/>
  <c r="L214" i="1" s="1"/>
  <c r="K340" i="1"/>
  <c r="L340" i="1" s="1"/>
  <c r="K124" i="1"/>
  <c r="L124" i="1" s="1"/>
  <c r="K198" i="1"/>
  <c r="L198" i="1" s="1"/>
  <c r="K337" i="1"/>
  <c r="L337" i="1" s="1"/>
  <c r="K405" i="1"/>
  <c r="L405" i="1" s="1"/>
  <c r="K537" i="1"/>
  <c r="L537" i="1" s="1"/>
  <c r="K688" i="1"/>
  <c r="L688" i="1" s="1"/>
  <c r="O38" i="1"/>
  <c r="P38" i="1"/>
  <c r="N16" i="1"/>
  <c r="O16" i="1"/>
  <c r="P16" i="1"/>
  <c r="O37" i="1"/>
  <c r="P37" i="1"/>
  <c r="O36" i="1"/>
  <c r="N14" i="1"/>
  <c r="O13" i="1"/>
  <c r="P13" i="1"/>
  <c r="P34" i="1"/>
  <c r="O12" i="1"/>
  <c r="N12" i="1"/>
  <c r="P12" i="1"/>
  <c r="P33" i="1"/>
  <c r="N33" i="1"/>
  <c r="O33" i="1"/>
  <c r="N11" i="1"/>
  <c r="N10" i="1"/>
  <c r="O10" i="1"/>
  <c r="P10" i="1"/>
  <c r="O45" i="1"/>
  <c r="P45" i="1"/>
  <c r="N45" i="1"/>
  <c r="N23" i="1"/>
  <c r="O23" i="1"/>
  <c r="P23" i="1"/>
  <c r="N44" i="1"/>
  <c r="O44" i="1"/>
  <c r="P44" i="1"/>
  <c r="N22" i="1"/>
  <c r="P22" i="1"/>
  <c r="O22" i="1"/>
  <c r="N35" i="1"/>
  <c r="P35" i="1"/>
  <c r="O21" i="1"/>
  <c r="P21" i="1"/>
  <c r="N42" i="1"/>
  <c r="O42" i="1"/>
  <c r="P42" i="1"/>
  <c r="N20" i="1"/>
  <c r="O20" i="1"/>
  <c r="R21" i="1" s="1"/>
  <c r="P20" i="1"/>
  <c r="S21" i="1" s="1"/>
  <c r="N41" i="1"/>
  <c r="O41" i="1"/>
  <c r="P41" i="1"/>
  <c r="N19" i="1"/>
  <c r="O19" i="1"/>
  <c r="P19" i="1"/>
  <c r="O40" i="1"/>
  <c r="P40" i="1"/>
  <c r="N18" i="1"/>
  <c r="O18" i="1"/>
  <c r="P18" i="1"/>
  <c r="P39" i="1"/>
  <c r="N17" i="1"/>
  <c r="O17" i="1"/>
  <c r="P17" i="1"/>
  <c r="N31" i="1"/>
  <c r="O31" i="1"/>
  <c r="P31" i="1"/>
  <c r="N9" i="1"/>
  <c r="O9" i="1"/>
  <c r="P9" i="1"/>
  <c r="N30" i="1"/>
  <c r="O30" i="1"/>
  <c r="P30" i="1"/>
  <c r="N8" i="1"/>
  <c r="O8" i="1"/>
  <c r="P8" i="1"/>
  <c r="N28" i="1"/>
  <c r="O28" i="1"/>
  <c r="P28" i="1"/>
  <c r="N6" i="1"/>
  <c r="N29" i="1"/>
  <c r="O29" i="1"/>
  <c r="P29" i="1"/>
  <c r="N27" i="1"/>
  <c r="O27" i="1"/>
  <c r="P27" i="1"/>
  <c r="N5" i="1"/>
  <c r="O5" i="1"/>
  <c r="P5" i="1"/>
  <c r="N7" i="1"/>
  <c r="O7" i="1"/>
  <c r="P7" i="1"/>
  <c r="N26" i="1"/>
  <c r="O26" i="1"/>
  <c r="P26" i="1"/>
  <c r="N4" i="1"/>
  <c r="O4" i="1"/>
  <c r="P4" i="1"/>
  <c r="O25" i="1"/>
  <c r="P25" i="1"/>
  <c r="P3" i="1"/>
  <c r="N3" i="1"/>
  <c r="N2" i="1"/>
  <c r="P2" i="1"/>
  <c r="O2" i="1"/>
  <c r="P24" i="1"/>
  <c r="N24" i="1"/>
  <c r="O24" i="1"/>
  <c r="Q6" i="1" l="1"/>
  <c r="S28" i="1"/>
  <c r="Q18" i="1"/>
  <c r="Q14" i="1"/>
  <c r="S25" i="1"/>
  <c r="R25" i="1"/>
  <c r="R28" i="1"/>
  <c r="Q28" i="1"/>
  <c r="O261" i="1"/>
  <c r="N678" i="1"/>
  <c r="P244" i="1"/>
  <c r="N261" i="1"/>
  <c r="Q10" i="1"/>
  <c r="R24" i="1"/>
  <c r="R4" i="1"/>
  <c r="R35" i="1"/>
  <c r="Q40" i="1"/>
  <c r="R38" i="1"/>
  <c r="Q27" i="1"/>
  <c r="R17" i="1"/>
  <c r="S9" i="1"/>
  <c r="R6" i="1"/>
  <c r="N34" i="1"/>
  <c r="S14" i="1"/>
  <c r="Q21" i="1"/>
  <c r="O14" i="1"/>
  <c r="R15" i="1" s="1"/>
  <c r="Q32" i="1"/>
  <c r="S18" i="1"/>
  <c r="R18" i="1"/>
  <c r="Q43" i="1"/>
  <c r="S11" i="1"/>
  <c r="S4" i="1"/>
  <c r="Q30" i="1"/>
  <c r="P6" i="1"/>
  <c r="S7" i="1" s="1"/>
  <c r="O39" i="1"/>
  <c r="R40" i="1" s="1"/>
  <c r="P32" i="1"/>
  <c r="S32" i="1" s="1"/>
  <c r="N36" i="1"/>
  <c r="Q37" i="1" s="1"/>
  <c r="Q11" i="1"/>
  <c r="P43" i="1"/>
  <c r="S44" i="1" s="1"/>
  <c r="O32" i="1"/>
  <c r="R33" i="1" s="1"/>
  <c r="O43" i="1"/>
  <c r="N15" i="1"/>
  <c r="O11" i="1"/>
  <c r="R11" i="1" s="1"/>
  <c r="P15" i="1"/>
  <c r="S15" i="1" s="1"/>
  <c r="Q25" i="1"/>
  <c r="P58" i="1"/>
  <c r="O58" i="1"/>
  <c r="N58" i="1"/>
  <c r="P686" i="1"/>
  <c r="O686" i="1"/>
  <c r="N686" i="1"/>
  <c r="P810" i="1"/>
  <c r="O810" i="1"/>
  <c r="N810" i="1"/>
  <c r="N592" i="1"/>
  <c r="O592" i="1"/>
  <c r="P592" i="1"/>
  <c r="P128" i="1"/>
  <c r="N128" i="1"/>
  <c r="O128" i="1"/>
  <c r="N711" i="1"/>
  <c r="P711" i="1"/>
  <c r="O711" i="1"/>
  <c r="R712" i="1" s="1"/>
  <c r="P189" i="1"/>
  <c r="S190" i="1" s="1"/>
  <c r="O189" i="1"/>
  <c r="N189" i="1"/>
  <c r="P239" i="1"/>
  <c r="O239" i="1"/>
  <c r="N239" i="1"/>
  <c r="N352" i="1"/>
  <c r="P352" i="1"/>
  <c r="O352" i="1"/>
  <c r="N441" i="1"/>
  <c r="O441" i="1"/>
  <c r="P441" i="1"/>
  <c r="P450" i="1"/>
  <c r="N450" i="1"/>
  <c r="O450" i="1"/>
  <c r="P96" i="1"/>
  <c r="O96" i="1"/>
  <c r="N96" i="1"/>
  <c r="P90" i="1"/>
  <c r="N90" i="1"/>
  <c r="O90" i="1"/>
  <c r="O446" i="1"/>
  <c r="R447" i="1" s="1"/>
  <c r="P446" i="1"/>
  <c r="S447" i="1" s="1"/>
  <c r="N446" i="1"/>
  <c r="Q447" i="1" s="1"/>
  <c r="P170" i="1"/>
  <c r="N170" i="1"/>
  <c r="O170" i="1"/>
  <c r="O752" i="1"/>
  <c r="P752" i="1"/>
  <c r="N752" i="1"/>
  <c r="O806" i="1"/>
  <c r="N806" i="1"/>
  <c r="P806" i="1"/>
  <c r="P617" i="1"/>
  <c r="O617" i="1"/>
  <c r="N617" i="1"/>
  <c r="O533" i="1"/>
  <c r="P533" i="1"/>
  <c r="N533" i="1"/>
  <c r="P653" i="1"/>
  <c r="O653" i="1"/>
  <c r="N653" i="1"/>
  <c r="P420" i="1"/>
  <c r="N420" i="1"/>
  <c r="O420" i="1"/>
  <c r="R421" i="1" s="1"/>
  <c r="P197" i="1"/>
  <c r="N197" i="1"/>
  <c r="O197" i="1"/>
  <c r="O263" i="1"/>
  <c r="N263" i="1"/>
  <c r="P263" i="1"/>
  <c r="O268" i="1"/>
  <c r="N268" i="1"/>
  <c r="P268" i="1"/>
  <c r="P323" i="1"/>
  <c r="N323" i="1"/>
  <c r="O323" i="1"/>
  <c r="P439" i="1"/>
  <c r="N439" i="1"/>
  <c r="O439" i="1"/>
  <c r="O471" i="1"/>
  <c r="P471" i="1"/>
  <c r="N471" i="1"/>
  <c r="P496" i="1"/>
  <c r="N496" i="1"/>
  <c r="O496" i="1"/>
  <c r="P95" i="1"/>
  <c r="N95" i="1"/>
  <c r="O95" i="1"/>
  <c r="P52" i="1"/>
  <c r="O52" i="1"/>
  <c r="N52" i="1"/>
  <c r="P146" i="1"/>
  <c r="O146" i="1"/>
  <c r="N146" i="1"/>
  <c r="P787" i="1"/>
  <c r="O787" i="1"/>
  <c r="N787" i="1"/>
  <c r="O802" i="1"/>
  <c r="P802" i="1"/>
  <c r="N802" i="1"/>
  <c r="P204" i="1"/>
  <c r="N204" i="1"/>
  <c r="O204" i="1"/>
  <c r="N205" i="1"/>
  <c r="O205" i="1"/>
  <c r="P205" i="1"/>
  <c r="P657" i="1"/>
  <c r="O657" i="1"/>
  <c r="N657" i="1"/>
  <c r="O726" i="1"/>
  <c r="P726" i="1"/>
  <c r="N726" i="1"/>
  <c r="P288" i="1"/>
  <c r="O288" i="1"/>
  <c r="N288" i="1"/>
  <c r="P196" i="1"/>
  <c r="O196" i="1"/>
  <c r="N196" i="1"/>
  <c r="P238" i="1"/>
  <c r="O238" i="1"/>
  <c r="N238" i="1"/>
  <c r="P292" i="1"/>
  <c r="O292" i="1"/>
  <c r="N292" i="1"/>
  <c r="Q293" i="1" s="1"/>
  <c r="P391" i="1"/>
  <c r="N391" i="1"/>
  <c r="O391" i="1"/>
  <c r="P428" i="1"/>
  <c r="O428" i="1"/>
  <c r="R429" i="1" s="1"/>
  <c r="N428" i="1"/>
  <c r="N443" i="1"/>
  <c r="O443" i="1"/>
  <c r="P443" i="1"/>
  <c r="P579" i="1"/>
  <c r="O579" i="1"/>
  <c r="N579" i="1"/>
  <c r="O133" i="1"/>
  <c r="P133" i="1"/>
  <c r="N133" i="1"/>
  <c r="N677" i="1"/>
  <c r="P677" i="1"/>
  <c r="S678" i="1" s="1"/>
  <c r="O677" i="1"/>
  <c r="R678" i="1" s="1"/>
  <c r="P141" i="1"/>
  <c r="O141" i="1"/>
  <c r="N141" i="1"/>
  <c r="O680" i="1"/>
  <c r="N680" i="1"/>
  <c r="P680" i="1"/>
  <c r="O750" i="1"/>
  <c r="N750" i="1"/>
  <c r="P750" i="1"/>
  <c r="P804" i="1"/>
  <c r="S805" i="1" s="1"/>
  <c r="N804" i="1"/>
  <c r="Q805" i="1" s="1"/>
  <c r="O804" i="1"/>
  <c r="O616" i="1"/>
  <c r="N616" i="1"/>
  <c r="P616" i="1"/>
  <c r="O556" i="1"/>
  <c r="P556" i="1"/>
  <c r="N556" i="1"/>
  <c r="O652" i="1"/>
  <c r="P652" i="1"/>
  <c r="N652" i="1"/>
  <c r="P734" i="1"/>
  <c r="O734" i="1"/>
  <c r="N734" i="1"/>
  <c r="Q735" i="1" s="1"/>
  <c r="P160" i="1"/>
  <c r="O160" i="1"/>
  <c r="N160" i="1"/>
  <c r="P185" i="1"/>
  <c r="N185" i="1"/>
  <c r="O185" i="1"/>
  <c r="P289" i="1"/>
  <c r="N289" i="1"/>
  <c r="O289" i="1"/>
  <c r="R290" i="1" s="1"/>
  <c r="P343" i="1"/>
  <c r="N343" i="1"/>
  <c r="O343" i="1"/>
  <c r="O362" i="1"/>
  <c r="N362" i="1"/>
  <c r="P362" i="1"/>
  <c r="P404" i="1"/>
  <c r="O404" i="1"/>
  <c r="N404" i="1"/>
  <c r="P490" i="1"/>
  <c r="O490" i="1"/>
  <c r="N490" i="1"/>
  <c r="O168" i="1"/>
  <c r="P168" i="1"/>
  <c r="N168" i="1"/>
  <c r="O111" i="1"/>
  <c r="P111" i="1"/>
  <c r="N111" i="1"/>
  <c r="Q112" i="1" s="1"/>
  <c r="S8" i="1"/>
  <c r="Q17" i="1"/>
  <c r="P463" i="1"/>
  <c r="S464" i="1" s="1"/>
  <c r="N463" i="1"/>
  <c r="O463" i="1"/>
  <c r="P53" i="1"/>
  <c r="N53" i="1"/>
  <c r="O53" i="1"/>
  <c r="O142" i="1"/>
  <c r="N142" i="1"/>
  <c r="P142" i="1"/>
  <c r="P145" i="1"/>
  <c r="O145" i="1"/>
  <c r="N145" i="1"/>
  <c r="P679" i="1"/>
  <c r="O679" i="1"/>
  <c r="R679" i="1" s="1"/>
  <c r="N679" i="1"/>
  <c r="P783" i="1"/>
  <c r="O783" i="1"/>
  <c r="N783" i="1"/>
  <c r="P770" i="1"/>
  <c r="O770" i="1"/>
  <c r="N770" i="1"/>
  <c r="P798" i="1"/>
  <c r="S799" i="1" s="1"/>
  <c r="N798" i="1"/>
  <c r="Q799" i="1" s="1"/>
  <c r="O798" i="1"/>
  <c r="P826" i="1"/>
  <c r="O826" i="1"/>
  <c r="N826" i="1"/>
  <c r="P615" i="1"/>
  <c r="S616" i="1" s="1"/>
  <c r="O615" i="1"/>
  <c r="N615" i="1"/>
  <c r="O590" i="1"/>
  <c r="P590" i="1"/>
  <c r="N590" i="1"/>
  <c r="P573" i="1"/>
  <c r="N573" i="1"/>
  <c r="O573" i="1"/>
  <c r="P555" i="1"/>
  <c r="O555" i="1"/>
  <c r="N555" i="1"/>
  <c r="P639" i="1"/>
  <c r="O639" i="1"/>
  <c r="N639" i="1"/>
  <c r="P623" i="1"/>
  <c r="O623" i="1"/>
  <c r="N623" i="1"/>
  <c r="P709" i="1"/>
  <c r="O709" i="1"/>
  <c r="N709" i="1"/>
  <c r="P733" i="1"/>
  <c r="O733" i="1"/>
  <c r="N733" i="1"/>
  <c r="P756" i="1"/>
  <c r="O756" i="1"/>
  <c r="N756" i="1"/>
  <c r="P84" i="1"/>
  <c r="O84" i="1"/>
  <c r="N84" i="1"/>
  <c r="P187" i="1"/>
  <c r="O187" i="1"/>
  <c r="N187" i="1"/>
  <c r="O209" i="1"/>
  <c r="P209" i="1"/>
  <c r="N209" i="1"/>
  <c r="Q210" i="1" s="1"/>
  <c r="O231" i="1"/>
  <c r="P231" i="1"/>
  <c r="N231" i="1"/>
  <c r="Q232" i="1" s="1"/>
  <c r="P277" i="1"/>
  <c r="S278" i="1" s="1"/>
  <c r="N277" i="1"/>
  <c r="O277" i="1"/>
  <c r="P291" i="1"/>
  <c r="O291" i="1"/>
  <c r="N291" i="1"/>
  <c r="P339" i="1"/>
  <c r="O339" i="1"/>
  <c r="N339" i="1"/>
  <c r="O333" i="1"/>
  <c r="N333" i="1"/>
  <c r="P333" i="1"/>
  <c r="P390" i="1"/>
  <c r="N390" i="1"/>
  <c r="O390" i="1"/>
  <c r="P437" i="1"/>
  <c r="N437" i="1"/>
  <c r="O437" i="1"/>
  <c r="P427" i="1"/>
  <c r="O427" i="1"/>
  <c r="N427" i="1"/>
  <c r="P461" i="1"/>
  <c r="S462" i="1" s="1"/>
  <c r="N461" i="1"/>
  <c r="Q462" i="1" s="1"/>
  <c r="O461" i="1"/>
  <c r="P519" i="1"/>
  <c r="O519" i="1"/>
  <c r="N519" i="1"/>
  <c r="P520" i="1"/>
  <c r="N520" i="1"/>
  <c r="O520" i="1"/>
  <c r="N732" i="1"/>
  <c r="P732" i="1"/>
  <c r="O732" i="1"/>
  <c r="P123" i="1"/>
  <c r="O123" i="1"/>
  <c r="N123" i="1"/>
  <c r="S679" i="1"/>
  <c r="N86" i="1"/>
  <c r="P86" i="1"/>
  <c r="O86" i="1"/>
  <c r="P147" i="1"/>
  <c r="O147" i="1"/>
  <c r="N147" i="1"/>
  <c r="P758" i="1"/>
  <c r="O758" i="1"/>
  <c r="N758" i="1"/>
  <c r="P407" i="1"/>
  <c r="O407" i="1"/>
  <c r="N407" i="1"/>
  <c r="N560" i="1"/>
  <c r="O560" i="1"/>
  <c r="P560" i="1"/>
  <c r="P212" i="1"/>
  <c r="N212" i="1"/>
  <c r="O212" i="1"/>
  <c r="O501" i="1"/>
  <c r="N501" i="1"/>
  <c r="P501" i="1"/>
  <c r="P259" i="1"/>
  <c r="O259" i="1"/>
  <c r="N259" i="1"/>
  <c r="P348" i="1"/>
  <c r="S349" i="1" s="1"/>
  <c r="O348" i="1"/>
  <c r="N348" i="1"/>
  <c r="P398" i="1"/>
  <c r="N398" i="1"/>
  <c r="O398" i="1"/>
  <c r="P522" i="1"/>
  <c r="N522" i="1"/>
  <c r="O522" i="1"/>
  <c r="P76" i="1"/>
  <c r="N76" i="1"/>
  <c r="O76" i="1"/>
  <c r="P687" i="1"/>
  <c r="O687" i="1"/>
  <c r="N687" i="1"/>
  <c r="O808" i="1"/>
  <c r="N808" i="1"/>
  <c r="P808" i="1"/>
  <c r="P342" i="1"/>
  <c r="O342" i="1"/>
  <c r="N342" i="1"/>
  <c r="O658" i="1"/>
  <c r="N658" i="1"/>
  <c r="P658" i="1"/>
  <c r="P708" i="1"/>
  <c r="O708" i="1"/>
  <c r="N708" i="1"/>
  <c r="P370" i="1"/>
  <c r="O370" i="1"/>
  <c r="N370" i="1"/>
  <c r="O186" i="1"/>
  <c r="P186" i="1"/>
  <c r="N186" i="1"/>
  <c r="P237" i="1"/>
  <c r="N237" i="1"/>
  <c r="O237" i="1"/>
  <c r="P351" i="1"/>
  <c r="O351" i="1"/>
  <c r="N351" i="1"/>
  <c r="P365" i="1"/>
  <c r="O365" i="1"/>
  <c r="N365" i="1"/>
  <c r="P416" i="1"/>
  <c r="N416" i="1"/>
  <c r="O416" i="1"/>
  <c r="R417" i="1" s="1"/>
  <c r="P465" i="1"/>
  <c r="O465" i="1"/>
  <c r="N465" i="1"/>
  <c r="P727" i="1"/>
  <c r="O727" i="1"/>
  <c r="N727" i="1"/>
  <c r="O167" i="1"/>
  <c r="P167" i="1"/>
  <c r="N167" i="1"/>
  <c r="N143" i="1"/>
  <c r="P143" i="1"/>
  <c r="O143" i="1"/>
  <c r="P684" i="1"/>
  <c r="O684" i="1"/>
  <c r="N684" i="1"/>
  <c r="P757" i="1"/>
  <c r="O757" i="1"/>
  <c r="N757" i="1"/>
  <c r="P829" i="1"/>
  <c r="S830" i="1" s="1"/>
  <c r="N829" i="1"/>
  <c r="Q830" i="1" s="1"/>
  <c r="O829" i="1"/>
  <c r="R830" i="1" s="1"/>
  <c r="O591" i="1"/>
  <c r="R592" i="1" s="1"/>
  <c r="P591" i="1"/>
  <c r="N591" i="1"/>
  <c r="O558" i="1"/>
  <c r="N558" i="1"/>
  <c r="P558" i="1"/>
  <c r="P624" i="1"/>
  <c r="N624" i="1"/>
  <c r="O624" i="1"/>
  <c r="O735" i="1"/>
  <c r="P735" i="1"/>
  <c r="N735" i="1"/>
  <c r="P299" i="1"/>
  <c r="O299" i="1"/>
  <c r="N299" i="1"/>
  <c r="O210" i="1"/>
  <c r="N210" i="1"/>
  <c r="P210" i="1"/>
  <c r="P290" i="1"/>
  <c r="N290" i="1"/>
  <c r="O290" i="1"/>
  <c r="P347" i="1"/>
  <c r="O347" i="1"/>
  <c r="N347" i="1"/>
  <c r="P438" i="1"/>
  <c r="N438" i="1"/>
  <c r="O438" i="1"/>
  <c r="O445" i="1"/>
  <c r="P445" i="1"/>
  <c r="N445" i="1"/>
  <c r="P521" i="1"/>
  <c r="O521" i="1"/>
  <c r="R522" i="1" s="1"/>
  <c r="N521" i="1"/>
  <c r="Q522" i="1" s="1"/>
  <c r="N94" i="1"/>
  <c r="P94" i="1"/>
  <c r="O94" i="1"/>
  <c r="P77" i="1"/>
  <c r="O77" i="1"/>
  <c r="N77" i="1"/>
  <c r="P169" i="1"/>
  <c r="N169" i="1"/>
  <c r="O169" i="1"/>
  <c r="O784" i="1"/>
  <c r="R785" i="1" s="1"/>
  <c r="P784" i="1"/>
  <c r="S785" i="1" s="1"/>
  <c r="N784" i="1"/>
  <c r="P799" i="1"/>
  <c r="N799" i="1"/>
  <c r="O799" i="1"/>
  <c r="R800" i="1" s="1"/>
  <c r="P126" i="1"/>
  <c r="O126" i="1"/>
  <c r="N126" i="1"/>
  <c r="O127" i="1"/>
  <c r="P127" i="1"/>
  <c r="N127" i="1"/>
  <c r="P637" i="1"/>
  <c r="N637" i="1"/>
  <c r="O637" i="1"/>
  <c r="N725" i="1"/>
  <c r="O725" i="1"/>
  <c r="P725" i="1"/>
  <c r="O71" i="1"/>
  <c r="N71" i="1"/>
  <c r="P71" i="1"/>
  <c r="O188" i="1"/>
  <c r="N188" i="1"/>
  <c r="P188" i="1"/>
  <c r="P256" i="1"/>
  <c r="O256" i="1"/>
  <c r="N256" i="1"/>
  <c r="Q257" i="1" s="1"/>
  <c r="P267" i="1"/>
  <c r="N267" i="1"/>
  <c r="O267" i="1"/>
  <c r="N324" i="1"/>
  <c r="P324" i="1"/>
  <c r="O324" i="1"/>
  <c r="N434" i="1"/>
  <c r="P434" i="1"/>
  <c r="S435" i="1" s="1"/>
  <c r="O434" i="1"/>
  <c r="N470" i="1"/>
  <c r="P470" i="1"/>
  <c r="O470" i="1"/>
  <c r="P495" i="1"/>
  <c r="O495" i="1"/>
  <c r="N495" i="1"/>
  <c r="P132" i="1"/>
  <c r="N132" i="1"/>
  <c r="Q133" i="1" s="1"/>
  <c r="O132" i="1"/>
  <c r="S65" i="1"/>
  <c r="R8" i="1"/>
  <c r="S39" i="1"/>
  <c r="P79" i="1"/>
  <c r="O79" i="1"/>
  <c r="N79" i="1"/>
  <c r="P75" i="1"/>
  <c r="N75" i="1"/>
  <c r="O75" i="1"/>
  <c r="N140" i="1"/>
  <c r="P140" i="1"/>
  <c r="O140" i="1"/>
  <c r="O134" i="1"/>
  <c r="N134" i="1"/>
  <c r="P134" i="1"/>
  <c r="N703" i="1"/>
  <c r="P703" i="1"/>
  <c r="O703" i="1"/>
  <c r="P781" i="1"/>
  <c r="N781" i="1"/>
  <c r="O781" i="1"/>
  <c r="P793" i="1"/>
  <c r="O793" i="1"/>
  <c r="N793" i="1"/>
  <c r="P797" i="1"/>
  <c r="N797" i="1"/>
  <c r="O797" i="1"/>
  <c r="O801" i="1"/>
  <c r="P801" i="1"/>
  <c r="N801" i="1"/>
  <c r="O614" i="1"/>
  <c r="N614" i="1"/>
  <c r="P614" i="1"/>
  <c r="O612" i="1"/>
  <c r="P612" i="1"/>
  <c r="N612" i="1"/>
  <c r="P562" i="1"/>
  <c r="O562" i="1"/>
  <c r="N562" i="1"/>
  <c r="N550" i="1"/>
  <c r="O550" i="1"/>
  <c r="P550" i="1"/>
  <c r="O638" i="1"/>
  <c r="P638" i="1"/>
  <c r="N638" i="1"/>
  <c r="N646" i="1"/>
  <c r="O646" i="1"/>
  <c r="P646" i="1"/>
  <c r="P710" i="1"/>
  <c r="O710" i="1"/>
  <c r="N710" i="1"/>
  <c r="Q711" i="1" s="1"/>
  <c r="P731" i="1"/>
  <c r="N731" i="1"/>
  <c r="O731" i="1"/>
  <c r="O647" i="1"/>
  <c r="N647" i="1"/>
  <c r="P647" i="1"/>
  <c r="P717" i="1"/>
  <c r="O717" i="1"/>
  <c r="N717" i="1"/>
  <c r="P183" i="1"/>
  <c r="N183" i="1"/>
  <c r="O183" i="1"/>
  <c r="P184" i="1"/>
  <c r="O184" i="1"/>
  <c r="N184" i="1"/>
  <c r="P257" i="1"/>
  <c r="O257" i="1"/>
  <c r="N257" i="1"/>
  <c r="O274" i="1"/>
  <c r="N274" i="1"/>
  <c r="P274" i="1"/>
  <c r="P287" i="1"/>
  <c r="O287" i="1"/>
  <c r="N287" i="1"/>
  <c r="P313" i="1"/>
  <c r="O313" i="1"/>
  <c r="N313" i="1"/>
  <c r="O311" i="1"/>
  <c r="P311" i="1"/>
  <c r="N311" i="1"/>
  <c r="P361" i="1"/>
  <c r="N361" i="1"/>
  <c r="O361" i="1"/>
  <c r="P433" i="1"/>
  <c r="O433" i="1"/>
  <c r="R434" i="1" s="1"/>
  <c r="N433" i="1"/>
  <c r="O403" i="1"/>
  <c r="R404" i="1" s="1"/>
  <c r="P403" i="1"/>
  <c r="N403" i="1"/>
  <c r="Q403" i="1" s="1"/>
  <c r="P462" i="1"/>
  <c r="N462" i="1"/>
  <c r="O462" i="1"/>
  <c r="P526" i="1"/>
  <c r="N526" i="1"/>
  <c r="O526" i="1"/>
  <c r="P494" i="1"/>
  <c r="O494" i="1"/>
  <c r="N494" i="1"/>
  <c r="P173" i="1"/>
  <c r="O173" i="1"/>
  <c r="N173" i="1"/>
  <c r="P99" i="1"/>
  <c r="O99" i="1"/>
  <c r="N99" i="1"/>
  <c r="P149" i="1"/>
  <c r="O149" i="1"/>
  <c r="N149" i="1"/>
  <c r="P753" i="1"/>
  <c r="S754" i="1" s="1"/>
  <c r="O753" i="1"/>
  <c r="R754" i="1" s="1"/>
  <c r="N753" i="1"/>
  <c r="Q754" i="1" s="1"/>
  <c r="P833" i="1"/>
  <c r="N833" i="1"/>
  <c r="O833" i="1"/>
  <c r="N413" i="1"/>
  <c r="O413" i="1"/>
  <c r="P413" i="1"/>
  <c r="P625" i="1"/>
  <c r="S626" i="1" s="1"/>
  <c r="O625" i="1"/>
  <c r="N625" i="1"/>
  <c r="P491" i="1"/>
  <c r="N491" i="1"/>
  <c r="O491" i="1"/>
  <c r="O211" i="1"/>
  <c r="P211" i="1"/>
  <c r="N211" i="1"/>
  <c r="P293" i="1"/>
  <c r="O293" i="1"/>
  <c r="N293" i="1"/>
  <c r="P392" i="1"/>
  <c r="O392" i="1"/>
  <c r="N392" i="1"/>
  <c r="P464" i="1"/>
  <c r="N464" i="1"/>
  <c r="O464" i="1"/>
  <c r="P659" i="1"/>
  <c r="S660" i="1" s="1"/>
  <c r="O659" i="1"/>
  <c r="N659" i="1"/>
  <c r="P144" i="1"/>
  <c r="S145" i="1" s="1"/>
  <c r="N144" i="1"/>
  <c r="O144" i="1"/>
  <c r="P788" i="1"/>
  <c r="O788" i="1"/>
  <c r="N788" i="1"/>
  <c r="P341" i="1"/>
  <c r="O341" i="1"/>
  <c r="N341" i="1"/>
  <c r="O260" i="1"/>
  <c r="P260" i="1"/>
  <c r="S261" i="1" s="1"/>
  <c r="N260" i="1"/>
  <c r="P112" i="1"/>
  <c r="N112" i="1"/>
  <c r="O112" i="1"/>
  <c r="P344" i="1"/>
  <c r="O344" i="1"/>
  <c r="N344" i="1"/>
  <c r="Q8" i="1"/>
  <c r="P78" i="1"/>
  <c r="O78" i="1"/>
  <c r="N78" i="1"/>
  <c r="P51" i="1"/>
  <c r="N51" i="1"/>
  <c r="O51" i="1"/>
  <c r="P137" i="1"/>
  <c r="O137" i="1"/>
  <c r="N137" i="1"/>
  <c r="P156" i="1"/>
  <c r="O156" i="1"/>
  <c r="N156" i="1"/>
  <c r="P675" i="1"/>
  <c r="N675" i="1"/>
  <c r="O675" i="1"/>
  <c r="P782" i="1"/>
  <c r="O782" i="1"/>
  <c r="N782" i="1"/>
  <c r="O769" i="1"/>
  <c r="P769" i="1"/>
  <c r="N769" i="1"/>
  <c r="P794" i="1"/>
  <c r="O794" i="1"/>
  <c r="N794" i="1"/>
  <c r="P825" i="1"/>
  <c r="O825" i="1"/>
  <c r="N825" i="1"/>
  <c r="P600" i="1"/>
  <c r="N600" i="1"/>
  <c r="O600" i="1"/>
  <c r="O584" i="1"/>
  <c r="P584" i="1"/>
  <c r="N584" i="1"/>
  <c r="O564" i="1"/>
  <c r="P564" i="1"/>
  <c r="N564" i="1"/>
  <c r="P549" i="1"/>
  <c r="O549" i="1"/>
  <c r="R550" i="1" s="1"/>
  <c r="N549" i="1"/>
  <c r="O636" i="1"/>
  <c r="N636" i="1"/>
  <c r="P636" i="1"/>
  <c r="P645" i="1"/>
  <c r="O645" i="1"/>
  <c r="N645" i="1"/>
  <c r="O706" i="1"/>
  <c r="N706" i="1"/>
  <c r="P706" i="1"/>
  <c r="P730" i="1"/>
  <c r="S731" i="1" s="1"/>
  <c r="N730" i="1"/>
  <c r="Q731" i="1" s="1"/>
  <c r="O730" i="1"/>
  <c r="R731" i="1" s="1"/>
  <c r="P493" i="1"/>
  <c r="O493" i="1"/>
  <c r="N493" i="1"/>
  <c r="P660" i="1"/>
  <c r="O660" i="1"/>
  <c r="N660" i="1"/>
  <c r="P182" i="1"/>
  <c r="O182" i="1"/>
  <c r="N182" i="1"/>
  <c r="Q183" i="1" s="1"/>
  <c r="O178" i="1"/>
  <c r="N178" i="1"/>
  <c r="P178" i="1"/>
  <c r="N232" i="1"/>
  <c r="O232" i="1"/>
  <c r="P232" i="1"/>
  <c r="P278" i="1"/>
  <c r="O278" i="1"/>
  <c r="N278" i="1"/>
  <c r="P286" i="1"/>
  <c r="N286" i="1"/>
  <c r="O286" i="1"/>
  <c r="P338" i="1"/>
  <c r="O338" i="1"/>
  <c r="N338" i="1"/>
  <c r="P372" i="1"/>
  <c r="N372" i="1"/>
  <c r="O372" i="1"/>
  <c r="P383" i="1"/>
  <c r="O383" i="1"/>
  <c r="N383" i="1"/>
  <c r="P430" i="1"/>
  <c r="N430" i="1"/>
  <c r="O430" i="1"/>
  <c r="P431" i="1"/>
  <c r="O431" i="1"/>
  <c r="N431" i="1"/>
  <c r="N442" i="1"/>
  <c r="O442" i="1"/>
  <c r="P442" i="1"/>
  <c r="P525" i="1"/>
  <c r="O525" i="1"/>
  <c r="N525" i="1"/>
  <c r="Q526" i="1" s="1"/>
  <c r="P516" i="1"/>
  <c r="N516" i="1"/>
  <c r="O516" i="1"/>
  <c r="O736" i="1"/>
  <c r="P736" i="1"/>
  <c r="N736" i="1"/>
  <c r="P122" i="1"/>
  <c r="N122" i="1"/>
  <c r="O122" i="1"/>
  <c r="P61" i="1"/>
  <c r="N61" i="1"/>
  <c r="O61" i="1"/>
  <c r="O74" i="1"/>
  <c r="N74" i="1"/>
  <c r="P74" i="1"/>
  <c r="P136" i="1"/>
  <c r="O136" i="1"/>
  <c r="N136" i="1"/>
  <c r="N177" i="1"/>
  <c r="O177" i="1"/>
  <c r="P177" i="1"/>
  <c r="O702" i="1"/>
  <c r="R703" i="1" s="1"/>
  <c r="N702" i="1"/>
  <c r="P702" i="1"/>
  <c r="O778" i="1"/>
  <c r="P778" i="1"/>
  <c r="N778" i="1"/>
  <c r="P790" i="1"/>
  <c r="O790" i="1"/>
  <c r="N790" i="1"/>
  <c r="O800" i="1"/>
  <c r="N800" i="1"/>
  <c r="P800" i="1"/>
  <c r="P609" i="1"/>
  <c r="O609" i="1"/>
  <c r="N609" i="1"/>
  <c r="O563" i="1"/>
  <c r="P563" i="1"/>
  <c r="N563" i="1"/>
  <c r="Q564" i="1" s="1"/>
  <c r="N530" i="1"/>
  <c r="P530" i="1"/>
  <c r="O530" i="1"/>
  <c r="P633" i="1"/>
  <c r="S634" i="1" s="1"/>
  <c r="O633" i="1"/>
  <c r="R634" i="1" s="1"/>
  <c r="N633" i="1"/>
  <c r="P643" i="1"/>
  <c r="O643" i="1"/>
  <c r="R643" i="1" s="1"/>
  <c r="N643" i="1"/>
  <c r="P749" i="1"/>
  <c r="O749" i="1"/>
  <c r="N749" i="1"/>
  <c r="O746" i="1"/>
  <c r="P746" i="1"/>
  <c r="N746" i="1"/>
  <c r="P359" i="1"/>
  <c r="N359" i="1"/>
  <c r="O359" i="1"/>
  <c r="P527" i="1"/>
  <c r="O527" i="1"/>
  <c r="N527" i="1"/>
  <c r="P181" i="1"/>
  <c r="S182" i="1" s="1"/>
  <c r="O181" i="1"/>
  <c r="N181" i="1"/>
  <c r="P200" i="1"/>
  <c r="N200" i="1"/>
  <c r="O200" i="1"/>
  <c r="P255" i="1"/>
  <c r="N255" i="1"/>
  <c r="O255" i="1"/>
  <c r="P273" i="1"/>
  <c r="O273" i="1"/>
  <c r="N273" i="1"/>
  <c r="P266" i="1"/>
  <c r="N266" i="1"/>
  <c r="O266" i="1"/>
  <c r="P312" i="1"/>
  <c r="O312" i="1"/>
  <c r="N312" i="1"/>
  <c r="P371" i="1"/>
  <c r="O371" i="1"/>
  <c r="N371" i="1"/>
  <c r="O357" i="1"/>
  <c r="R358" i="1" s="1"/>
  <c r="P357" i="1"/>
  <c r="S358" i="1" s="1"/>
  <c r="N357" i="1"/>
  <c r="Q358" i="1" s="1"/>
  <c r="P432" i="1"/>
  <c r="S433" i="1" s="1"/>
  <c r="O432" i="1"/>
  <c r="N432" i="1"/>
  <c r="Q433" i="1" s="1"/>
  <c r="P408" i="1"/>
  <c r="O408" i="1"/>
  <c r="N408" i="1"/>
  <c r="P460" i="1"/>
  <c r="N460" i="1"/>
  <c r="O460" i="1"/>
  <c r="O518" i="1"/>
  <c r="P518" i="1"/>
  <c r="N518" i="1"/>
  <c r="P489" i="1"/>
  <c r="O489" i="1"/>
  <c r="N489" i="1"/>
  <c r="P456" i="1"/>
  <c r="N456" i="1"/>
  <c r="O456" i="1"/>
  <c r="P98" i="1"/>
  <c r="O98" i="1"/>
  <c r="N98" i="1"/>
  <c r="Q99" i="1" s="1"/>
  <c r="O728" i="1"/>
  <c r="N728" i="1"/>
  <c r="Q729" i="1" s="1"/>
  <c r="P728" i="1"/>
  <c r="R448" i="1"/>
  <c r="O688" i="1"/>
  <c r="R689" i="1" s="1"/>
  <c r="P688" i="1"/>
  <c r="S689" i="1" s="1"/>
  <c r="N688" i="1"/>
  <c r="Q689" i="1" s="1"/>
  <c r="P50" i="1"/>
  <c r="O50" i="1"/>
  <c r="N50" i="1"/>
  <c r="P174" i="1"/>
  <c r="N174" i="1"/>
  <c r="O174" i="1"/>
  <c r="P155" i="1"/>
  <c r="O155" i="1"/>
  <c r="N155" i="1"/>
  <c r="N674" i="1"/>
  <c r="P674" i="1"/>
  <c r="O674" i="1"/>
  <c r="O777" i="1"/>
  <c r="P777" i="1"/>
  <c r="N777" i="1"/>
  <c r="P765" i="1"/>
  <c r="O765" i="1"/>
  <c r="N765" i="1"/>
  <c r="P837" i="1"/>
  <c r="O837" i="1"/>
  <c r="N837" i="1"/>
  <c r="P831" i="1"/>
  <c r="S831" i="1" s="1"/>
  <c r="N831" i="1"/>
  <c r="O831" i="1"/>
  <c r="P603" i="1"/>
  <c r="O603" i="1"/>
  <c r="N603" i="1"/>
  <c r="P583" i="1"/>
  <c r="O583" i="1"/>
  <c r="N583" i="1"/>
  <c r="P561" i="1"/>
  <c r="N561" i="1"/>
  <c r="O561" i="1"/>
  <c r="N548" i="1"/>
  <c r="Q549" i="1" s="1"/>
  <c r="P548" i="1"/>
  <c r="O548" i="1"/>
  <c r="O632" i="1"/>
  <c r="N632" i="1"/>
  <c r="P632" i="1"/>
  <c r="O651" i="1"/>
  <c r="R652" i="1" s="1"/>
  <c r="P651" i="1"/>
  <c r="S652" i="1" s="1"/>
  <c r="N651" i="1"/>
  <c r="Q652" i="1" s="1"/>
  <c r="O748" i="1"/>
  <c r="P748" i="1"/>
  <c r="N748" i="1"/>
  <c r="O722" i="1"/>
  <c r="P722" i="1"/>
  <c r="N722" i="1"/>
  <c r="N296" i="1"/>
  <c r="O296" i="1"/>
  <c r="P296" i="1"/>
  <c r="N302" i="1"/>
  <c r="P302" i="1"/>
  <c r="O302" i="1"/>
  <c r="O180" i="1"/>
  <c r="P180" i="1"/>
  <c r="N180" i="1"/>
  <c r="P221" i="1"/>
  <c r="N221" i="1"/>
  <c r="O221" i="1"/>
  <c r="P230" i="1"/>
  <c r="O230" i="1"/>
  <c r="N230" i="1"/>
  <c r="O272" i="1"/>
  <c r="P272" i="1"/>
  <c r="N272" i="1"/>
  <c r="P285" i="1"/>
  <c r="O285" i="1"/>
  <c r="N285" i="1"/>
  <c r="P331" i="1"/>
  <c r="N331" i="1"/>
  <c r="O331" i="1"/>
  <c r="P358" i="1"/>
  <c r="O358" i="1"/>
  <c r="N358" i="1"/>
  <c r="P382" i="1"/>
  <c r="N382" i="1"/>
  <c r="O382" i="1"/>
  <c r="R383" i="1" s="1"/>
  <c r="P422" i="1"/>
  <c r="N422" i="1"/>
  <c r="Q423" i="1" s="1"/>
  <c r="O422" i="1"/>
  <c r="P421" i="1"/>
  <c r="N421" i="1"/>
  <c r="O421" i="1"/>
  <c r="N485" i="1"/>
  <c r="O485" i="1"/>
  <c r="P485" i="1"/>
  <c r="O517" i="1"/>
  <c r="P517" i="1"/>
  <c r="N517" i="1"/>
  <c r="P514" i="1"/>
  <c r="N514" i="1"/>
  <c r="O514" i="1"/>
  <c r="O116" i="1"/>
  <c r="N116" i="1"/>
  <c r="P116" i="1"/>
  <c r="Q24" i="1"/>
  <c r="N537" i="1"/>
  <c r="P537" i="1"/>
  <c r="O537" i="1"/>
  <c r="P62" i="1"/>
  <c r="O62" i="1"/>
  <c r="N62" i="1"/>
  <c r="P73" i="1"/>
  <c r="O73" i="1"/>
  <c r="N73" i="1"/>
  <c r="P135" i="1"/>
  <c r="N135" i="1"/>
  <c r="Q136" i="1" s="1"/>
  <c r="O135" i="1"/>
  <c r="P693" i="1"/>
  <c r="O693" i="1"/>
  <c r="N693" i="1"/>
  <c r="P701" i="1"/>
  <c r="N701" i="1"/>
  <c r="O701" i="1"/>
  <c r="N776" i="1"/>
  <c r="P776" i="1"/>
  <c r="O776" i="1"/>
  <c r="O786" i="1"/>
  <c r="N786" i="1"/>
  <c r="Q787" i="1" s="1"/>
  <c r="P786" i="1"/>
  <c r="S787" i="1" s="1"/>
  <c r="P803" i="1"/>
  <c r="O803" i="1"/>
  <c r="N803" i="1"/>
  <c r="P807" i="1"/>
  <c r="S808" i="1" s="1"/>
  <c r="N807" i="1"/>
  <c r="O807" i="1"/>
  <c r="P598" i="1"/>
  <c r="O598" i="1"/>
  <c r="N598" i="1"/>
  <c r="P608" i="1"/>
  <c r="N608" i="1"/>
  <c r="O608" i="1"/>
  <c r="P554" i="1"/>
  <c r="N554" i="1"/>
  <c r="O554" i="1"/>
  <c r="O571" i="1"/>
  <c r="P571" i="1"/>
  <c r="N571" i="1"/>
  <c r="P744" i="1"/>
  <c r="N744" i="1"/>
  <c r="O744" i="1"/>
  <c r="P745" i="1"/>
  <c r="S746" i="1" s="1"/>
  <c r="N745" i="1"/>
  <c r="Q746" i="1" s="1"/>
  <c r="O745" i="1"/>
  <c r="P220" i="1"/>
  <c r="N220" i="1"/>
  <c r="Q221" i="1" s="1"/>
  <c r="O220" i="1"/>
  <c r="R221" i="1" s="1"/>
  <c r="P161" i="1"/>
  <c r="N161" i="1"/>
  <c r="O161" i="1"/>
  <c r="O179" i="1"/>
  <c r="R180" i="1" s="1"/>
  <c r="P179" i="1"/>
  <c r="N179" i="1"/>
  <c r="P199" i="1"/>
  <c r="O199" i="1"/>
  <c r="N199" i="1"/>
  <c r="P254" i="1"/>
  <c r="O254" i="1"/>
  <c r="N254" i="1"/>
  <c r="P271" i="1"/>
  <c r="O271" i="1"/>
  <c r="N271" i="1"/>
  <c r="N332" i="1"/>
  <c r="O332" i="1"/>
  <c r="R333" i="1" s="1"/>
  <c r="P332" i="1"/>
  <c r="N354" i="1"/>
  <c r="O354" i="1"/>
  <c r="P354" i="1"/>
  <c r="O356" i="1"/>
  <c r="N356" i="1"/>
  <c r="Q357" i="1" s="1"/>
  <c r="P356" i="1"/>
  <c r="P436" i="1"/>
  <c r="O436" i="1"/>
  <c r="R437" i="1" s="1"/>
  <c r="N436" i="1"/>
  <c r="P399" i="1"/>
  <c r="O399" i="1"/>
  <c r="N399" i="1"/>
  <c r="P459" i="1"/>
  <c r="N459" i="1"/>
  <c r="O459" i="1"/>
  <c r="P511" i="1"/>
  <c r="O511" i="1"/>
  <c r="N511" i="1"/>
  <c r="P488" i="1"/>
  <c r="S489" i="1" s="1"/>
  <c r="O488" i="1"/>
  <c r="R489" i="1" s="1"/>
  <c r="N488" i="1"/>
  <c r="Q489" i="1" s="1"/>
  <c r="P109" i="1"/>
  <c r="N109" i="1"/>
  <c r="O109" i="1"/>
  <c r="S448" i="1"/>
  <c r="P405" i="1"/>
  <c r="N405" i="1"/>
  <c r="O405" i="1"/>
  <c r="P60" i="1"/>
  <c r="S61" i="1" s="1"/>
  <c r="N60" i="1"/>
  <c r="Q61" i="1" s="1"/>
  <c r="O60" i="1"/>
  <c r="P49" i="1"/>
  <c r="O49" i="1"/>
  <c r="N49" i="1"/>
  <c r="P163" i="1"/>
  <c r="N163" i="1"/>
  <c r="O163" i="1"/>
  <c r="P692" i="1"/>
  <c r="O692" i="1"/>
  <c r="N692" i="1"/>
  <c r="N775" i="1"/>
  <c r="Q776" i="1" s="1"/>
  <c r="P775" i="1"/>
  <c r="S776" i="1" s="1"/>
  <c r="O775" i="1"/>
  <c r="R776" i="1" s="1"/>
  <c r="O762" i="1"/>
  <c r="P762" i="1"/>
  <c r="N762" i="1"/>
  <c r="O817" i="1"/>
  <c r="N817" i="1"/>
  <c r="P817" i="1"/>
  <c r="P582" i="1"/>
  <c r="O582" i="1"/>
  <c r="R583" i="1" s="1"/>
  <c r="N582" i="1"/>
  <c r="Q583" i="1" s="1"/>
  <c r="P551" i="1"/>
  <c r="N551" i="1"/>
  <c r="O551" i="1"/>
  <c r="P547" i="1"/>
  <c r="O547" i="1"/>
  <c r="N547" i="1"/>
  <c r="P630" i="1"/>
  <c r="N630" i="1"/>
  <c r="O630" i="1"/>
  <c r="P650" i="1"/>
  <c r="N650" i="1"/>
  <c r="O650" i="1"/>
  <c r="P738" i="1"/>
  <c r="N738" i="1"/>
  <c r="O738" i="1"/>
  <c r="P721" i="1"/>
  <c r="O721" i="1"/>
  <c r="N721" i="1"/>
  <c r="Q722" i="1" s="1"/>
  <c r="N72" i="1"/>
  <c r="P72" i="1"/>
  <c r="O72" i="1"/>
  <c r="N85" i="1"/>
  <c r="Q86" i="1" s="1"/>
  <c r="O85" i="1"/>
  <c r="P85" i="1"/>
  <c r="O203" i="1"/>
  <c r="N203" i="1"/>
  <c r="P203" i="1"/>
  <c r="P193" i="1"/>
  <c r="N193" i="1"/>
  <c r="O193" i="1"/>
  <c r="P229" i="1"/>
  <c r="O229" i="1"/>
  <c r="N229" i="1"/>
  <c r="P309" i="1"/>
  <c r="N309" i="1"/>
  <c r="O309" i="1"/>
  <c r="P284" i="1"/>
  <c r="N284" i="1"/>
  <c r="O284" i="1"/>
  <c r="P330" i="1"/>
  <c r="S331" i="1" s="1"/>
  <c r="N330" i="1"/>
  <c r="Q331" i="1" s="1"/>
  <c r="O330" i="1"/>
  <c r="N396" i="1"/>
  <c r="O396" i="1"/>
  <c r="P396" i="1"/>
  <c r="N381" i="1"/>
  <c r="O381" i="1"/>
  <c r="P381" i="1"/>
  <c r="O410" i="1"/>
  <c r="P410" i="1"/>
  <c r="N410" i="1"/>
  <c r="O449" i="1"/>
  <c r="P449" i="1"/>
  <c r="N449" i="1"/>
  <c r="P484" i="1"/>
  <c r="N484" i="1"/>
  <c r="O484" i="1"/>
  <c r="P512" i="1"/>
  <c r="N512" i="1"/>
  <c r="O512" i="1"/>
  <c r="O513" i="1"/>
  <c r="R514" i="1" s="1"/>
  <c r="N513" i="1"/>
  <c r="Q514" i="1" s="1"/>
  <c r="P513" i="1"/>
  <c r="O613" i="1"/>
  <c r="P613" i="1"/>
  <c r="N613" i="1"/>
  <c r="P117" i="1"/>
  <c r="O117" i="1"/>
  <c r="N117" i="1"/>
  <c r="O380" i="1"/>
  <c r="N380" i="1"/>
  <c r="P380" i="1"/>
  <c r="S380" i="1" s="1"/>
  <c r="O337" i="1"/>
  <c r="P337" i="1"/>
  <c r="S337" i="1" s="1"/>
  <c r="N337" i="1"/>
  <c r="Q337" i="1" s="1"/>
  <c r="P57" i="1"/>
  <c r="O57" i="1"/>
  <c r="N57" i="1"/>
  <c r="Q58" i="1" s="1"/>
  <c r="P69" i="1"/>
  <c r="S70" i="1" s="1"/>
  <c r="O69" i="1"/>
  <c r="N69" i="1"/>
  <c r="N139" i="1"/>
  <c r="O139" i="1"/>
  <c r="P139" i="1"/>
  <c r="O671" i="1"/>
  <c r="P671" i="1"/>
  <c r="N671" i="1"/>
  <c r="O691" i="1"/>
  <c r="R692" i="1" s="1"/>
  <c r="N691" i="1"/>
  <c r="P691" i="1"/>
  <c r="P780" i="1"/>
  <c r="O780" i="1"/>
  <c r="N780" i="1"/>
  <c r="P785" i="1"/>
  <c r="N785" i="1"/>
  <c r="O785" i="1"/>
  <c r="P827" i="1"/>
  <c r="O827" i="1"/>
  <c r="N827" i="1"/>
  <c r="N795" i="1"/>
  <c r="O795" i="1"/>
  <c r="P795" i="1"/>
  <c r="N589" i="1"/>
  <c r="Q590" i="1" s="1"/>
  <c r="P589" i="1"/>
  <c r="S590" i="1" s="1"/>
  <c r="O589" i="1"/>
  <c r="P611" i="1"/>
  <c r="N611" i="1"/>
  <c r="O611" i="1"/>
  <c r="N552" i="1"/>
  <c r="P552" i="1"/>
  <c r="O552" i="1"/>
  <c r="P570" i="1"/>
  <c r="N570" i="1"/>
  <c r="O570" i="1"/>
  <c r="P622" i="1"/>
  <c r="N622" i="1"/>
  <c r="O622" i="1"/>
  <c r="O626" i="1"/>
  <c r="P626" i="1"/>
  <c r="N626" i="1"/>
  <c r="O723" i="1"/>
  <c r="N723" i="1"/>
  <c r="P723" i="1"/>
  <c r="O747" i="1"/>
  <c r="P747" i="1"/>
  <c r="N747" i="1"/>
  <c r="P763" i="1"/>
  <c r="O763" i="1"/>
  <c r="N763" i="1"/>
  <c r="P376" i="1"/>
  <c r="N376" i="1"/>
  <c r="O376" i="1"/>
  <c r="O202" i="1"/>
  <c r="P202" i="1"/>
  <c r="N202" i="1"/>
  <c r="P250" i="1"/>
  <c r="N250" i="1"/>
  <c r="O250" i="1"/>
  <c r="P253" i="1"/>
  <c r="O253" i="1"/>
  <c r="N253" i="1"/>
  <c r="Q254" i="1" s="1"/>
  <c r="P308" i="1"/>
  <c r="N308" i="1"/>
  <c r="O308" i="1"/>
  <c r="N306" i="1"/>
  <c r="P306" i="1"/>
  <c r="S307" i="1" s="1"/>
  <c r="O306" i="1"/>
  <c r="N329" i="1"/>
  <c r="P329" i="1"/>
  <c r="O329" i="1"/>
  <c r="N397" i="1"/>
  <c r="O397" i="1"/>
  <c r="P397" i="1"/>
  <c r="P388" i="1"/>
  <c r="O388" i="1"/>
  <c r="N388" i="1"/>
  <c r="P435" i="1"/>
  <c r="N435" i="1"/>
  <c r="O435" i="1"/>
  <c r="O448" i="1"/>
  <c r="P448" i="1"/>
  <c r="N448" i="1"/>
  <c r="P458" i="1"/>
  <c r="O458" i="1"/>
  <c r="N458" i="1"/>
  <c r="P510" i="1"/>
  <c r="S511" i="1" s="1"/>
  <c r="O510" i="1"/>
  <c r="R511" i="1" s="1"/>
  <c r="N510" i="1"/>
  <c r="Q511" i="1" s="1"/>
  <c r="N507" i="1"/>
  <c r="Q508" i="1" s="1"/>
  <c r="P507" i="1"/>
  <c r="S508" i="1" s="1"/>
  <c r="O507" i="1"/>
  <c r="O326" i="1"/>
  <c r="P326" i="1"/>
  <c r="N326" i="1"/>
  <c r="Q327" i="1" s="1"/>
  <c r="P93" i="1"/>
  <c r="N93" i="1"/>
  <c r="O93" i="1"/>
  <c r="P245" i="1"/>
  <c r="O245" i="1"/>
  <c r="N245" i="1"/>
  <c r="Q245" i="1" s="1"/>
  <c r="P198" i="1"/>
  <c r="N198" i="1"/>
  <c r="O198" i="1"/>
  <c r="P55" i="1"/>
  <c r="O55" i="1"/>
  <c r="N55" i="1"/>
  <c r="P66" i="1"/>
  <c r="N66" i="1"/>
  <c r="O66" i="1"/>
  <c r="P162" i="1"/>
  <c r="S163" i="1" s="1"/>
  <c r="O162" i="1"/>
  <c r="N162" i="1"/>
  <c r="Q163" i="1" s="1"/>
  <c r="O676" i="1"/>
  <c r="N676" i="1"/>
  <c r="Q677" i="1" s="1"/>
  <c r="P676" i="1"/>
  <c r="P667" i="1"/>
  <c r="O667" i="1"/>
  <c r="N667" i="1"/>
  <c r="O779" i="1"/>
  <c r="P779" i="1"/>
  <c r="N779" i="1"/>
  <c r="P761" i="1"/>
  <c r="O761" i="1"/>
  <c r="N761" i="1"/>
  <c r="P828" i="1"/>
  <c r="O828" i="1"/>
  <c r="N828" i="1"/>
  <c r="P816" i="1"/>
  <c r="O816" i="1"/>
  <c r="N816" i="1"/>
  <c r="P595" i="1"/>
  <c r="N595" i="1"/>
  <c r="O595" i="1"/>
  <c r="O587" i="1"/>
  <c r="N587" i="1"/>
  <c r="Q588" i="1" s="1"/>
  <c r="P587" i="1"/>
  <c r="P545" i="1"/>
  <c r="O545" i="1"/>
  <c r="N545" i="1"/>
  <c r="O546" i="1"/>
  <c r="R547" i="1" s="1"/>
  <c r="P546" i="1"/>
  <c r="N546" i="1"/>
  <c r="P621" i="1"/>
  <c r="O621" i="1"/>
  <c r="N621" i="1"/>
  <c r="O644" i="1"/>
  <c r="N644" i="1"/>
  <c r="P644" i="1"/>
  <c r="O720" i="1"/>
  <c r="N720" i="1"/>
  <c r="P720" i="1"/>
  <c r="O724" i="1"/>
  <c r="N724" i="1"/>
  <c r="P724" i="1"/>
  <c r="S725" i="1" s="1"/>
  <c r="O648" i="1"/>
  <c r="P648" i="1"/>
  <c r="N648" i="1"/>
  <c r="P166" i="1"/>
  <c r="N166" i="1"/>
  <c r="O166" i="1"/>
  <c r="P218" i="1"/>
  <c r="S219" i="1" s="1"/>
  <c r="O218" i="1"/>
  <c r="R219" i="1" s="1"/>
  <c r="N218" i="1"/>
  <c r="P246" i="1"/>
  <c r="N246" i="1"/>
  <c r="O246" i="1"/>
  <c r="O228" i="1"/>
  <c r="P228" i="1"/>
  <c r="N228" i="1"/>
  <c r="O305" i="1"/>
  <c r="P305" i="1"/>
  <c r="N305" i="1"/>
  <c r="P283" i="1"/>
  <c r="N283" i="1"/>
  <c r="O283" i="1"/>
  <c r="P310" i="1"/>
  <c r="O310" i="1"/>
  <c r="N310" i="1"/>
  <c r="O395" i="1"/>
  <c r="P395" i="1"/>
  <c r="N395" i="1"/>
  <c r="O364" i="1"/>
  <c r="R365" i="1" s="1"/>
  <c r="P364" i="1"/>
  <c r="S365" i="1" s="1"/>
  <c r="N364" i="1"/>
  <c r="Q365" i="1" s="1"/>
  <c r="O409" i="1"/>
  <c r="P409" i="1"/>
  <c r="N409" i="1"/>
  <c r="O481" i="1"/>
  <c r="N481" i="1"/>
  <c r="P481" i="1"/>
  <c r="P480" i="1"/>
  <c r="O480" i="1"/>
  <c r="N480" i="1"/>
  <c r="P508" i="1"/>
  <c r="N508" i="1"/>
  <c r="O508" i="1"/>
  <c r="P486" i="1"/>
  <c r="N486" i="1"/>
  <c r="O486" i="1"/>
  <c r="N110" i="1"/>
  <c r="P110" i="1"/>
  <c r="S111" i="1" s="1"/>
  <c r="O110" i="1"/>
  <c r="R111" i="1" s="1"/>
  <c r="P115" i="1"/>
  <c r="S116" i="1" s="1"/>
  <c r="O115" i="1"/>
  <c r="N115" i="1"/>
  <c r="Q116" i="1" s="1"/>
  <c r="P172" i="1"/>
  <c r="O172" i="1"/>
  <c r="N172" i="1"/>
  <c r="P124" i="1"/>
  <c r="O124" i="1"/>
  <c r="N124" i="1"/>
  <c r="P56" i="1"/>
  <c r="O56" i="1"/>
  <c r="N56" i="1"/>
  <c r="P65" i="1"/>
  <c r="O65" i="1"/>
  <c r="R65" i="1" s="1"/>
  <c r="N65" i="1"/>
  <c r="P138" i="1"/>
  <c r="N138" i="1"/>
  <c r="O138" i="1"/>
  <c r="O672" i="1"/>
  <c r="P672" i="1"/>
  <c r="N672" i="1"/>
  <c r="P690" i="1"/>
  <c r="N690" i="1"/>
  <c r="O690" i="1"/>
  <c r="N774" i="1"/>
  <c r="Q775" i="1" s="1"/>
  <c r="P774" i="1"/>
  <c r="O774" i="1"/>
  <c r="P789" i="1"/>
  <c r="O789" i="1"/>
  <c r="N789" i="1"/>
  <c r="O824" i="1"/>
  <c r="N824" i="1"/>
  <c r="P824" i="1"/>
  <c r="N588" i="1"/>
  <c r="O588" i="1"/>
  <c r="P588" i="1"/>
  <c r="N610" i="1"/>
  <c r="P610" i="1"/>
  <c r="O610" i="1"/>
  <c r="N544" i="1"/>
  <c r="O544" i="1"/>
  <c r="P544" i="1"/>
  <c r="P557" i="1"/>
  <c r="O557" i="1"/>
  <c r="N557" i="1"/>
  <c r="O618" i="1"/>
  <c r="N618" i="1"/>
  <c r="P618" i="1"/>
  <c r="P620" i="1"/>
  <c r="N620" i="1"/>
  <c r="O620" i="1"/>
  <c r="O742" i="1"/>
  <c r="N742" i="1"/>
  <c r="P742" i="1"/>
  <c r="P729" i="1"/>
  <c r="N729" i="1"/>
  <c r="O729" i="1"/>
  <c r="P499" i="1"/>
  <c r="N499" i="1"/>
  <c r="O499" i="1"/>
  <c r="P719" i="1"/>
  <c r="S720" i="1" s="1"/>
  <c r="O719" i="1"/>
  <c r="R720" i="1" s="1"/>
  <c r="N719" i="1"/>
  <c r="P194" i="1"/>
  <c r="O194" i="1"/>
  <c r="N194" i="1"/>
  <c r="O234" i="1"/>
  <c r="N234" i="1"/>
  <c r="P234" i="1"/>
  <c r="S235" i="1" s="1"/>
  <c r="P249" i="1"/>
  <c r="O249" i="1"/>
  <c r="N249" i="1"/>
  <c r="O304" i="1"/>
  <c r="P304" i="1"/>
  <c r="N304" i="1"/>
  <c r="O303" i="1"/>
  <c r="P303" i="1"/>
  <c r="N303" i="1"/>
  <c r="N328" i="1"/>
  <c r="P328" i="1"/>
  <c r="O328" i="1"/>
  <c r="P386" i="1"/>
  <c r="O386" i="1"/>
  <c r="N386" i="1"/>
  <c r="P387" i="1"/>
  <c r="O387" i="1"/>
  <c r="N387" i="1"/>
  <c r="P426" i="1"/>
  <c r="O426" i="1"/>
  <c r="N426" i="1"/>
  <c r="Q427" i="1" s="1"/>
  <c r="P483" i="1"/>
  <c r="S484" i="1" s="1"/>
  <c r="O483" i="1"/>
  <c r="N483" i="1"/>
  <c r="O454" i="1"/>
  <c r="P454" i="1"/>
  <c r="N454" i="1"/>
  <c r="P505" i="1"/>
  <c r="N505" i="1"/>
  <c r="O505" i="1"/>
  <c r="P506" i="1"/>
  <c r="N506" i="1"/>
  <c r="O506" i="1"/>
  <c r="P121" i="1"/>
  <c r="S122" i="1" s="1"/>
  <c r="O121" i="1"/>
  <c r="R122" i="1" s="1"/>
  <c r="N121" i="1"/>
  <c r="O91" i="1"/>
  <c r="P91" i="1"/>
  <c r="N91" i="1"/>
  <c r="P606" i="1"/>
  <c r="O606" i="1"/>
  <c r="N606" i="1"/>
  <c r="Q607" i="1" s="1"/>
  <c r="O604" i="1"/>
  <c r="N604" i="1"/>
  <c r="P604" i="1"/>
  <c r="S605" i="1" s="1"/>
  <c r="P252" i="1"/>
  <c r="S253" i="1" s="1"/>
  <c r="N252" i="1"/>
  <c r="O252" i="1"/>
  <c r="P631" i="1"/>
  <c r="O631" i="1"/>
  <c r="N631" i="1"/>
  <c r="P796" i="1"/>
  <c r="N796" i="1"/>
  <c r="O796" i="1"/>
  <c r="S22" i="1"/>
  <c r="P340" i="1"/>
  <c r="S341" i="1" s="1"/>
  <c r="O340" i="1"/>
  <c r="R341" i="1" s="1"/>
  <c r="N340" i="1"/>
  <c r="Q341" i="1" s="1"/>
  <c r="P154" i="1"/>
  <c r="S155" i="1" s="1"/>
  <c r="N154" i="1"/>
  <c r="Q155" i="1" s="1"/>
  <c r="O154" i="1"/>
  <c r="P772" i="1"/>
  <c r="O772" i="1"/>
  <c r="N772" i="1"/>
  <c r="R337" i="1"/>
  <c r="N585" i="1"/>
  <c r="P585" i="1"/>
  <c r="O585" i="1"/>
  <c r="O586" i="1"/>
  <c r="N586" i="1"/>
  <c r="P586" i="1"/>
  <c r="P534" i="1"/>
  <c r="O534" i="1"/>
  <c r="N534" i="1"/>
  <c r="P635" i="1"/>
  <c r="N635" i="1"/>
  <c r="O635" i="1"/>
  <c r="P640" i="1"/>
  <c r="O640" i="1"/>
  <c r="N640" i="1"/>
  <c r="O714" i="1"/>
  <c r="P714" i="1"/>
  <c r="N714" i="1"/>
  <c r="P707" i="1"/>
  <c r="N707" i="1"/>
  <c r="O707" i="1"/>
  <c r="R708" i="1" s="1"/>
  <c r="O360" i="1"/>
  <c r="R361" i="1" s="1"/>
  <c r="P360" i="1"/>
  <c r="N360" i="1"/>
  <c r="P578" i="1"/>
  <c r="O578" i="1"/>
  <c r="N578" i="1"/>
  <c r="P219" i="1"/>
  <c r="O219" i="1"/>
  <c r="N219" i="1"/>
  <c r="N236" i="1"/>
  <c r="P236" i="1"/>
  <c r="O236" i="1"/>
  <c r="R237" i="1" s="1"/>
  <c r="O224" i="1"/>
  <c r="P224" i="1"/>
  <c r="N224" i="1"/>
  <c r="P301" i="1"/>
  <c r="S302" i="1" s="1"/>
  <c r="O301" i="1"/>
  <c r="N301" i="1"/>
  <c r="Q302" i="1" s="1"/>
  <c r="N281" i="1"/>
  <c r="P281" i="1"/>
  <c r="O281" i="1"/>
  <c r="P350" i="1"/>
  <c r="N350" i="1"/>
  <c r="O350" i="1"/>
  <c r="O385" i="1"/>
  <c r="P385" i="1"/>
  <c r="N385" i="1"/>
  <c r="P363" i="1"/>
  <c r="O363" i="1"/>
  <c r="N363" i="1"/>
  <c r="P400" i="1"/>
  <c r="O400" i="1"/>
  <c r="N400" i="1"/>
  <c r="N482" i="1"/>
  <c r="O482" i="1"/>
  <c r="P482" i="1"/>
  <c r="P120" i="1"/>
  <c r="N120" i="1"/>
  <c r="O120" i="1"/>
  <c r="R120" i="1" s="1"/>
  <c r="P114" i="1"/>
  <c r="O114" i="1"/>
  <c r="N114" i="1"/>
  <c r="S40" i="1"/>
  <c r="R22" i="1"/>
  <c r="R37" i="1"/>
  <c r="P214" i="1"/>
  <c r="N214" i="1"/>
  <c r="O214" i="1"/>
  <c r="O48" i="1"/>
  <c r="P48" i="1"/>
  <c r="N48" i="1"/>
  <c r="N68" i="1"/>
  <c r="P68" i="1"/>
  <c r="O68" i="1"/>
  <c r="P157" i="1"/>
  <c r="S158" i="1" s="1"/>
  <c r="O157" i="1"/>
  <c r="R158" i="1" s="1"/>
  <c r="N157" i="1"/>
  <c r="Q158" i="1" s="1"/>
  <c r="O669" i="1"/>
  <c r="P669" i="1"/>
  <c r="N669" i="1"/>
  <c r="P683" i="1"/>
  <c r="O683" i="1"/>
  <c r="N683" i="1"/>
  <c r="P771" i="1"/>
  <c r="O771" i="1"/>
  <c r="R772" i="1" s="1"/>
  <c r="N771" i="1"/>
  <c r="P773" i="1"/>
  <c r="N773" i="1"/>
  <c r="O773" i="1"/>
  <c r="P822" i="1"/>
  <c r="N822" i="1"/>
  <c r="O822" i="1"/>
  <c r="P581" i="1"/>
  <c r="N581" i="1"/>
  <c r="O581" i="1"/>
  <c r="P599" i="1"/>
  <c r="O599" i="1"/>
  <c r="N599" i="1"/>
  <c r="P542" i="1"/>
  <c r="O542" i="1"/>
  <c r="N542" i="1"/>
  <c r="P553" i="1"/>
  <c r="O553" i="1"/>
  <c r="R554" i="1" s="1"/>
  <c r="N553" i="1"/>
  <c r="Q554" i="1" s="1"/>
  <c r="P661" i="1"/>
  <c r="O661" i="1"/>
  <c r="N661" i="1"/>
  <c r="P641" i="1"/>
  <c r="S642" i="1" s="1"/>
  <c r="N641" i="1"/>
  <c r="Q642" i="1" s="1"/>
  <c r="O641" i="1"/>
  <c r="R642" i="1" s="1"/>
  <c r="P743" i="1"/>
  <c r="N743" i="1"/>
  <c r="O743" i="1"/>
  <c r="P700" i="1"/>
  <c r="O700" i="1"/>
  <c r="N700" i="1"/>
  <c r="P297" i="1"/>
  <c r="O297" i="1"/>
  <c r="N297" i="1"/>
  <c r="P378" i="1"/>
  <c r="S379" i="1" s="1"/>
  <c r="N378" i="1"/>
  <c r="Q379" i="1" s="1"/>
  <c r="O378" i="1"/>
  <c r="R379" i="1" s="1"/>
  <c r="O195" i="1"/>
  <c r="R196" i="1" s="1"/>
  <c r="P195" i="1"/>
  <c r="N195" i="1"/>
  <c r="Q196" i="1" s="1"/>
  <c r="P235" i="1"/>
  <c r="N235" i="1"/>
  <c r="O235" i="1"/>
  <c r="P248" i="1"/>
  <c r="O248" i="1"/>
  <c r="N248" i="1"/>
  <c r="P276" i="1"/>
  <c r="O276" i="1"/>
  <c r="R277" i="1" s="1"/>
  <c r="N276" i="1"/>
  <c r="P335" i="1"/>
  <c r="S336" i="1" s="1"/>
  <c r="O335" i="1"/>
  <c r="R336" i="1" s="1"/>
  <c r="N335" i="1"/>
  <c r="Q336" i="1" s="1"/>
  <c r="P321" i="1"/>
  <c r="N321" i="1"/>
  <c r="O321" i="1"/>
  <c r="P384" i="1"/>
  <c r="O384" i="1"/>
  <c r="N384" i="1"/>
  <c r="P389" i="1"/>
  <c r="N389" i="1"/>
  <c r="O389" i="1"/>
  <c r="P429" i="1"/>
  <c r="S430" i="1" s="1"/>
  <c r="O429" i="1"/>
  <c r="N429" i="1"/>
  <c r="P477" i="1"/>
  <c r="S478" i="1" s="1"/>
  <c r="O477" i="1"/>
  <c r="R478" i="1" s="1"/>
  <c r="N477" i="1"/>
  <c r="P453" i="1"/>
  <c r="N453" i="1"/>
  <c r="O453" i="1"/>
  <c r="R454" i="1" s="1"/>
  <c r="P504" i="1"/>
  <c r="N504" i="1"/>
  <c r="O504" i="1"/>
  <c r="P492" i="1"/>
  <c r="N492" i="1"/>
  <c r="Q493" i="1" s="1"/>
  <c r="O492" i="1"/>
  <c r="P103" i="1"/>
  <c r="O103" i="1"/>
  <c r="N103" i="1"/>
  <c r="Q104" i="1" s="1"/>
  <c r="P113" i="1"/>
  <c r="O113" i="1"/>
  <c r="N113" i="1"/>
  <c r="P251" i="1"/>
  <c r="O251" i="1"/>
  <c r="N251" i="1"/>
  <c r="N805" i="1"/>
  <c r="P805" i="1"/>
  <c r="S806" i="1" s="1"/>
  <c r="O805" i="1"/>
  <c r="R806" i="1" s="1"/>
  <c r="P605" i="1"/>
  <c r="O605" i="1"/>
  <c r="N605" i="1"/>
  <c r="O627" i="1"/>
  <c r="P627" i="1"/>
  <c r="N627" i="1"/>
  <c r="N673" i="1"/>
  <c r="P673" i="1"/>
  <c r="O673" i="1"/>
  <c r="P766" i="1"/>
  <c r="N766" i="1"/>
  <c r="O766" i="1"/>
  <c r="P455" i="1"/>
  <c r="O455" i="1"/>
  <c r="N455" i="1"/>
  <c r="O153" i="1"/>
  <c r="N153" i="1"/>
  <c r="P153" i="1"/>
  <c r="P538" i="1"/>
  <c r="S539" i="1" s="1"/>
  <c r="O538" i="1"/>
  <c r="N538" i="1"/>
  <c r="P531" i="1"/>
  <c r="N531" i="1"/>
  <c r="O531" i="1"/>
  <c r="N572" i="1"/>
  <c r="O572" i="1"/>
  <c r="P572" i="1"/>
  <c r="O233" i="1"/>
  <c r="N233" i="1"/>
  <c r="P233" i="1"/>
  <c r="P346" i="1"/>
  <c r="N346" i="1"/>
  <c r="O346" i="1"/>
  <c r="P476" i="1"/>
  <c r="O476" i="1"/>
  <c r="N476" i="1"/>
  <c r="R7" i="1"/>
  <c r="S37" i="1"/>
  <c r="N500" i="1"/>
  <c r="O500" i="1"/>
  <c r="P500" i="1"/>
  <c r="P47" i="1"/>
  <c r="O47" i="1"/>
  <c r="N47" i="1"/>
  <c r="O67" i="1"/>
  <c r="N67" i="1"/>
  <c r="Q68" i="1" s="1"/>
  <c r="P67" i="1"/>
  <c r="O176" i="1"/>
  <c r="N176" i="1"/>
  <c r="P176" i="1"/>
  <c r="O704" i="1"/>
  <c r="P704" i="1"/>
  <c r="N704" i="1"/>
  <c r="O681" i="1"/>
  <c r="P681" i="1"/>
  <c r="N681" i="1"/>
  <c r="P767" i="1"/>
  <c r="N767" i="1"/>
  <c r="O767" i="1"/>
  <c r="P813" i="1"/>
  <c r="O813" i="1"/>
  <c r="N813" i="1"/>
  <c r="O818" i="1"/>
  <c r="N818" i="1"/>
  <c r="P818" i="1"/>
  <c r="P406" i="1"/>
  <c r="O406" i="1"/>
  <c r="N406" i="1"/>
  <c r="O602" i="1"/>
  <c r="N602" i="1"/>
  <c r="P602" i="1"/>
  <c r="O597" i="1"/>
  <c r="N597" i="1"/>
  <c r="P597" i="1"/>
  <c r="P540" i="1"/>
  <c r="O540" i="1"/>
  <c r="N540" i="1"/>
  <c r="P835" i="1"/>
  <c r="N835" i="1"/>
  <c r="O835" i="1"/>
  <c r="O655" i="1"/>
  <c r="N655" i="1"/>
  <c r="P655" i="1"/>
  <c r="O836" i="1"/>
  <c r="P836" i="1"/>
  <c r="N836" i="1"/>
  <c r="O741" i="1"/>
  <c r="N741" i="1"/>
  <c r="P741" i="1"/>
  <c r="P419" i="1"/>
  <c r="N419" i="1"/>
  <c r="O419" i="1"/>
  <c r="P649" i="1"/>
  <c r="N649" i="1"/>
  <c r="O649" i="1"/>
  <c r="N535" i="1"/>
  <c r="P535" i="1"/>
  <c r="O535" i="1"/>
  <c r="P192" i="1"/>
  <c r="N192" i="1"/>
  <c r="O192" i="1"/>
  <c r="R193" i="1" s="1"/>
  <c r="P227" i="1"/>
  <c r="N227" i="1"/>
  <c r="Q228" i="1" s="1"/>
  <c r="O227" i="1"/>
  <c r="R228" i="1" s="1"/>
  <c r="P247" i="1"/>
  <c r="O247" i="1"/>
  <c r="N247" i="1"/>
  <c r="O275" i="1"/>
  <c r="N275" i="1"/>
  <c r="P275" i="1"/>
  <c r="P315" i="1"/>
  <c r="O315" i="1"/>
  <c r="N315" i="1"/>
  <c r="P320" i="1"/>
  <c r="N320" i="1"/>
  <c r="O320" i="1"/>
  <c r="O373" i="1"/>
  <c r="N373" i="1"/>
  <c r="P373" i="1"/>
  <c r="P377" i="1"/>
  <c r="O377" i="1"/>
  <c r="N377" i="1"/>
  <c r="O425" i="1"/>
  <c r="P425" i="1"/>
  <c r="N425" i="1"/>
  <c r="O475" i="1"/>
  <c r="P475" i="1"/>
  <c r="N475" i="1"/>
  <c r="O452" i="1"/>
  <c r="P452" i="1"/>
  <c r="N452" i="1"/>
  <c r="O503" i="1"/>
  <c r="P503" i="1"/>
  <c r="N503" i="1"/>
  <c r="P487" i="1"/>
  <c r="O487" i="1"/>
  <c r="N487" i="1"/>
  <c r="O104" i="1"/>
  <c r="P104" i="1"/>
  <c r="N104" i="1"/>
  <c r="O107" i="1"/>
  <c r="P107" i="1"/>
  <c r="N107" i="1"/>
  <c r="P322" i="1"/>
  <c r="N322" i="1"/>
  <c r="O322" i="1"/>
  <c r="P307" i="1"/>
  <c r="N307" i="1"/>
  <c r="O307" i="1"/>
  <c r="N596" i="1"/>
  <c r="P596" i="1"/>
  <c r="O596" i="1"/>
  <c r="Q4" i="1"/>
  <c r="P54" i="1"/>
  <c r="O54" i="1"/>
  <c r="N54" i="1"/>
  <c r="N46" i="1"/>
  <c r="O46" i="1"/>
  <c r="P46" i="1"/>
  <c r="O670" i="1"/>
  <c r="P670" i="1"/>
  <c r="N670" i="1"/>
  <c r="P666" i="1"/>
  <c r="O666" i="1"/>
  <c r="N666" i="1"/>
  <c r="P823" i="1"/>
  <c r="O823" i="1"/>
  <c r="N823" i="1"/>
  <c r="P543" i="1"/>
  <c r="O543" i="1"/>
  <c r="N543" i="1"/>
  <c r="O80" i="1"/>
  <c r="P80" i="1"/>
  <c r="N80" i="1"/>
  <c r="P88" i="1"/>
  <c r="N88" i="1"/>
  <c r="O88" i="1"/>
  <c r="O89" i="1"/>
  <c r="P89" i="1"/>
  <c r="N89" i="1"/>
  <c r="O662" i="1"/>
  <c r="N662" i="1"/>
  <c r="P662" i="1"/>
  <c r="P819" i="1"/>
  <c r="N819" i="1"/>
  <c r="O819" i="1"/>
  <c r="P580" i="1"/>
  <c r="O580" i="1"/>
  <c r="N580" i="1"/>
  <c r="P576" i="1"/>
  <c r="S577" i="1" s="1"/>
  <c r="N576" i="1"/>
  <c r="Q577" i="1" s="1"/>
  <c r="O576" i="1"/>
  <c r="R577" i="1" s="1"/>
  <c r="N566" i="1"/>
  <c r="P566" i="1"/>
  <c r="O566" i="1"/>
  <c r="P634" i="1"/>
  <c r="O634" i="1"/>
  <c r="N634" i="1"/>
  <c r="P619" i="1"/>
  <c r="S620" i="1" s="1"/>
  <c r="N619" i="1"/>
  <c r="Q620" i="1" s="1"/>
  <c r="O619" i="1"/>
  <c r="R620" i="1" s="1"/>
  <c r="N715" i="1"/>
  <c r="Q716" i="1" s="1"/>
  <c r="O715" i="1"/>
  <c r="R716" i="1" s="1"/>
  <c r="P715" i="1"/>
  <c r="S716" i="1" s="1"/>
  <c r="P764" i="1"/>
  <c r="O764" i="1"/>
  <c r="N764" i="1"/>
  <c r="P243" i="1"/>
  <c r="N243" i="1"/>
  <c r="Q244" i="1" s="1"/>
  <c r="O243" i="1"/>
  <c r="R244" i="1" s="1"/>
  <c r="P217" i="1"/>
  <c r="O217" i="1"/>
  <c r="N217" i="1"/>
  <c r="P223" i="1"/>
  <c r="O223" i="1"/>
  <c r="N223" i="1"/>
  <c r="P300" i="1"/>
  <c r="O300" i="1"/>
  <c r="N300" i="1"/>
  <c r="P334" i="1"/>
  <c r="O334" i="1"/>
  <c r="R335" i="1" s="1"/>
  <c r="N334" i="1"/>
  <c r="Q335" i="1" s="1"/>
  <c r="P374" i="1"/>
  <c r="N374" i="1"/>
  <c r="O374" i="1"/>
  <c r="P366" i="1"/>
  <c r="O366" i="1"/>
  <c r="N366" i="1"/>
  <c r="P401" i="1"/>
  <c r="S402" i="1" s="1"/>
  <c r="O401" i="1"/>
  <c r="R402" i="1" s="1"/>
  <c r="N401" i="1"/>
  <c r="Q402" i="1" s="1"/>
  <c r="N478" i="1"/>
  <c r="O478" i="1"/>
  <c r="P478" i="1"/>
  <c r="N529" i="1"/>
  <c r="P529" i="1"/>
  <c r="O529" i="1"/>
  <c r="O509" i="1"/>
  <c r="R510" i="1" s="1"/>
  <c r="N509" i="1"/>
  <c r="P509" i="1"/>
  <c r="S26" i="1"/>
  <c r="Q7" i="1"/>
  <c r="S19" i="1"/>
  <c r="Q33" i="1"/>
  <c r="P375" i="1"/>
  <c r="N375" i="1"/>
  <c r="O375" i="1"/>
  <c r="O87" i="1"/>
  <c r="P87" i="1"/>
  <c r="N87" i="1"/>
  <c r="P165" i="1"/>
  <c r="O165" i="1"/>
  <c r="N165" i="1"/>
  <c r="P152" i="1"/>
  <c r="N152" i="1"/>
  <c r="O152" i="1"/>
  <c r="N695" i="1"/>
  <c r="O695" i="1"/>
  <c r="P695" i="1"/>
  <c r="P705" i="1"/>
  <c r="O705" i="1"/>
  <c r="N705" i="1"/>
  <c r="P760" i="1"/>
  <c r="N760" i="1"/>
  <c r="Q761" i="1" s="1"/>
  <c r="O760" i="1"/>
  <c r="R761" i="1" s="1"/>
  <c r="P821" i="1"/>
  <c r="S822" i="1" s="1"/>
  <c r="N821" i="1"/>
  <c r="Q822" i="1" s="1"/>
  <c r="O821" i="1"/>
  <c r="R822" i="1" s="1"/>
  <c r="P815" i="1"/>
  <c r="O815" i="1"/>
  <c r="N815" i="1"/>
  <c r="P201" i="1"/>
  <c r="O201" i="1"/>
  <c r="N201" i="1"/>
  <c r="P601" i="1"/>
  <c r="N601" i="1"/>
  <c r="O601" i="1"/>
  <c r="P575" i="1"/>
  <c r="N575" i="1"/>
  <c r="Q576" i="1" s="1"/>
  <c r="O575" i="1"/>
  <c r="P565" i="1"/>
  <c r="N565" i="1"/>
  <c r="O565" i="1"/>
  <c r="R566" i="1" s="1"/>
  <c r="O698" i="1"/>
  <c r="N698" i="1"/>
  <c r="P698" i="1"/>
  <c r="P628" i="1"/>
  <c r="N628" i="1"/>
  <c r="O628" i="1"/>
  <c r="R629" i="1" s="1"/>
  <c r="P699" i="1"/>
  <c r="S700" i="1" s="1"/>
  <c r="N699" i="1"/>
  <c r="O699" i="1"/>
  <c r="P713" i="1"/>
  <c r="O713" i="1"/>
  <c r="N713" i="1"/>
  <c r="P282" i="1"/>
  <c r="O282" i="1"/>
  <c r="N282" i="1"/>
  <c r="P369" i="1"/>
  <c r="O369" i="1"/>
  <c r="N369" i="1"/>
  <c r="O327" i="1"/>
  <c r="P327" i="1"/>
  <c r="N327" i="1"/>
  <c r="P216" i="1"/>
  <c r="O216" i="1"/>
  <c r="N216" i="1"/>
  <c r="P225" i="1"/>
  <c r="O225" i="1"/>
  <c r="N225" i="1"/>
  <c r="O265" i="1"/>
  <c r="N265" i="1"/>
  <c r="P265" i="1"/>
  <c r="P294" i="1"/>
  <c r="O294" i="1"/>
  <c r="N294" i="1"/>
  <c r="P317" i="1"/>
  <c r="S318" i="1" s="1"/>
  <c r="O317" i="1"/>
  <c r="R318" i="1" s="1"/>
  <c r="N317" i="1"/>
  <c r="Q318" i="1" s="1"/>
  <c r="P345" i="1"/>
  <c r="O345" i="1"/>
  <c r="N345" i="1"/>
  <c r="O393" i="1"/>
  <c r="N393" i="1"/>
  <c r="Q394" i="1" s="1"/>
  <c r="P393" i="1"/>
  <c r="S394" i="1" s="1"/>
  <c r="N355" i="1"/>
  <c r="O355" i="1"/>
  <c r="P355" i="1"/>
  <c r="O424" i="1"/>
  <c r="P424" i="1"/>
  <c r="N424" i="1"/>
  <c r="P474" i="1"/>
  <c r="O474" i="1"/>
  <c r="N474" i="1"/>
  <c r="P468" i="1"/>
  <c r="N468" i="1"/>
  <c r="O468" i="1"/>
  <c r="O523" i="1"/>
  <c r="N523" i="1"/>
  <c r="Q524" i="1" s="1"/>
  <c r="P523" i="1"/>
  <c r="P536" i="1"/>
  <c r="N536" i="1"/>
  <c r="O536" i="1"/>
  <c r="P102" i="1"/>
  <c r="O102" i="1"/>
  <c r="N102" i="1"/>
  <c r="N130" i="1"/>
  <c r="Q131" i="1" s="1"/>
  <c r="O130" i="1"/>
  <c r="P130" i="1"/>
  <c r="P737" i="1"/>
  <c r="O737" i="1"/>
  <c r="N737" i="1"/>
  <c r="P451" i="1"/>
  <c r="N451" i="1"/>
  <c r="O451" i="1"/>
  <c r="O502" i="1"/>
  <c r="P502" i="1"/>
  <c r="N502" i="1"/>
  <c r="P668" i="1"/>
  <c r="N668" i="1"/>
  <c r="O668" i="1"/>
  <c r="P607" i="1"/>
  <c r="O607" i="1"/>
  <c r="N607" i="1"/>
  <c r="R26" i="1"/>
  <c r="Q44" i="1"/>
  <c r="P718" i="1"/>
  <c r="O718" i="1"/>
  <c r="N718" i="1"/>
  <c r="P83" i="1"/>
  <c r="S84" i="1" s="1"/>
  <c r="O83" i="1"/>
  <c r="R84" i="1" s="1"/>
  <c r="N83" i="1"/>
  <c r="Q84" i="1" s="1"/>
  <c r="P164" i="1"/>
  <c r="O164" i="1"/>
  <c r="N164" i="1"/>
  <c r="Q165" i="1" s="1"/>
  <c r="P175" i="1"/>
  <c r="N175" i="1"/>
  <c r="Q176" i="1" s="1"/>
  <c r="O175" i="1"/>
  <c r="P665" i="1"/>
  <c r="O665" i="1"/>
  <c r="N665" i="1"/>
  <c r="P682" i="1"/>
  <c r="O682" i="1"/>
  <c r="N682" i="1"/>
  <c r="O792" i="1"/>
  <c r="N792" i="1"/>
  <c r="P792" i="1"/>
  <c r="N820" i="1"/>
  <c r="O820" i="1"/>
  <c r="P820" i="1"/>
  <c r="P814" i="1"/>
  <c r="O814" i="1"/>
  <c r="N814" i="1"/>
  <c r="P125" i="1"/>
  <c r="O125" i="1"/>
  <c r="N125" i="1"/>
  <c r="O593" i="1"/>
  <c r="R594" i="1" s="1"/>
  <c r="P593" i="1"/>
  <c r="N593" i="1"/>
  <c r="P832" i="1"/>
  <c r="O832" i="1"/>
  <c r="N832" i="1"/>
  <c r="N539" i="1"/>
  <c r="O539" i="1"/>
  <c r="P539" i="1"/>
  <c r="P414" i="1"/>
  <c r="O414" i="1"/>
  <c r="N414" i="1"/>
  <c r="P656" i="1"/>
  <c r="N656" i="1"/>
  <c r="O656" i="1"/>
  <c r="P569" i="1"/>
  <c r="S569" i="1" s="1"/>
  <c r="O569" i="1"/>
  <c r="N569" i="1"/>
  <c r="N740" i="1"/>
  <c r="P740" i="1"/>
  <c r="O740" i="1"/>
  <c r="P213" i="1"/>
  <c r="N213" i="1"/>
  <c r="O213" i="1"/>
  <c r="R214" i="1" s="1"/>
  <c r="N298" i="1"/>
  <c r="O298" i="1"/>
  <c r="P298" i="1"/>
  <c r="O118" i="1"/>
  <c r="R119" i="1" s="1"/>
  <c r="N118" i="1"/>
  <c r="Q119" i="1" s="1"/>
  <c r="P118" i="1"/>
  <c r="S119" i="1" s="1"/>
  <c r="P191" i="1"/>
  <c r="O191" i="1"/>
  <c r="N191" i="1"/>
  <c r="P226" i="1"/>
  <c r="O226" i="1"/>
  <c r="N226" i="1"/>
  <c r="P242" i="1"/>
  <c r="O242" i="1"/>
  <c r="N242" i="1"/>
  <c r="P269" i="1"/>
  <c r="N269" i="1"/>
  <c r="O269" i="1"/>
  <c r="R270" i="1" s="1"/>
  <c r="P316" i="1"/>
  <c r="O316" i="1"/>
  <c r="N316" i="1"/>
  <c r="Q317" i="1" s="1"/>
  <c r="P319" i="1"/>
  <c r="S319" i="1" s="1"/>
  <c r="N319" i="1"/>
  <c r="Q320" i="1" s="1"/>
  <c r="O319" i="1"/>
  <c r="P367" i="1"/>
  <c r="O367" i="1"/>
  <c r="N367" i="1"/>
  <c r="P412" i="1"/>
  <c r="N412" i="1"/>
  <c r="O412" i="1"/>
  <c r="P423" i="1"/>
  <c r="N423" i="1"/>
  <c r="O423" i="1"/>
  <c r="O472" i="1"/>
  <c r="N472" i="1"/>
  <c r="P472" i="1"/>
  <c r="O444" i="1"/>
  <c r="P444" i="1"/>
  <c r="N444" i="1"/>
  <c r="P497" i="1"/>
  <c r="O497" i="1"/>
  <c r="N497" i="1"/>
  <c r="P101" i="1"/>
  <c r="O101" i="1"/>
  <c r="N101" i="1"/>
  <c r="Q102" i="1" s="1"/>
  <c r="P106" i="1"/>
  <c r="O106" i="1"/>
  <c r="N106" i="1"/>
  <c r="P457" i="1"/>
  <c r="N457" i="1"/>
  <c r="O457" i="1"/>
  <c r="O479" i="1"/>
  <c r="N479" i="1"/>
  <c r="P479" i="1"/>
  <c r="S480" i="1" s="1"/>
  <c r="P751" i="1"/>
  <c r="S752" i="1" s="1"/>
  <c r="O751" i="1"/>
  <c r="N751" i="1"/>
  <c r="N108" i="1"/>
  <c r="O108" i="1"/>
  <c r="P108" i="1"/>
  <c r="S5" i="1"/>
  <c r="P528" i="1"/>
  <c r="N528" i="1"/>
  <c r="O528" i="1"/>
  <c r="P59" i="1"/>
  <c r="N59" i="1"/>
  <c r="O59" i="1"/>
  <c r="R60" i="1" s="1"/>
  <c r="P148" i="1"/>
  <c r="O148" i="1"/>
  <c r="N148" i="1"/>
  <c r="O151" i="1"/>
  <c r="P151" i="1"/>
  <c r="N151" i="1"/>
  <c r="P694" i="1"/>
  <c r="N694" i="1"/>
  <c r="O694" i="1"/>
  <c r="P685" i="1"/>
  <c r="N685" i="1"/>
  <c r="O685" i="1"/>
  <c r="O759" i="1"/>
  <c r="N759" i="1"/>
  <c r="P759" i="1"/>
  <c r="O812" i="1"/>
  <c r="P812" i="1"/>
  <c r="N812" i="1"/>
  <c r="O834" i="1"/>
  <c r="P834" i="1"/>
  <c r="N834" i="1"/>
  <c r="Q835" i="1" s="1"/>
  <c r="P696" i="1"/>
  <c r="S697" i="1" s="1"/>
  <c r="N696" i="1"/>
  <c r="O696" i="1"/>
  <c r="N594" i="1"/>
  <c r="O594" i="1"/>
  <c r="P594" i="1"/>
  <c r="P697" i="1"/>
  <c r="N697" i="1"/>
  <c r="O697" i="1"/>
  <c r="P559" i="1"/>
  <c r="N559" i="1"/>
  <c r="O559" i="1"/>
  <c r="P279" i="1"/>
  <c r="O279" i="1"/>
  <c r="R280" i="1" s="1"/>
  <c r="N279" i="1"/>
  <c r="P629" i="1"/>
  <c r="O629" i="1"/>
  <c r="R630" i="1" s="1"/>
  <c r="N629" i="1"/>
  <c r="Q630" i="1" s="1"/>
  <c r="N415" i="1"/>
  <c r="P415" i="1"/>
  <c r="S416" i="1" s="1"/>
  <c r="O415" i="1"/>
  <c r="P712" i="1"/>
  <c r="S713" i="1" s="1"/>
  <c r="N712" i="1"/>
  <c r="Q713" i="1" s="1"/>
  <c r="O712" i="1"/>
  <c r="O70" i="1"/>
  <c r="N70" i="1"/>
  <c r="P70" i="1"/>
  <c r="O159" i="1"/>
  <c r="R159" i="1" s="1"/>
  <c r="P159" i="1"/>
  <c r="S159" i="1" s="1"/>
  <c r="N159" i="1"/>
  <c r="P207" i="1"/>
  <c r="S208" i="1" s="1"/>
  <c r="N207" i="1"/>
  <c r="O207" i="1"/>
  <c r="P215" i="1"/>
  <c r="O215" i="1"/>
  <c r="N215" i="1"/>
  <c r="P262" i="1"/>
  <c r="S262" i="1" s="1"/>
  <c r="N262" i="1"/>
  <c r="O262" i="1"/>
  <c r="O264" i="1"/>
  <c r="N264" i="1"/>
  <c r="P264" i="1"/>
  <c r="P295" i="1"/>
  <c r="S296" i="1" s="1"/>
  <c r="O295" i="1"/>
  <c r="N295" i="1"/>
  <c r="Q296" i="1" s="1"/>
  <c r="O314" i="1"/>
  <c r="P314" i="1"/>
  <c r="N314" i="1"/>
  <c r="P349" i="1"/>
  <c r="O349" i="1"/>
  <c r="N349" i="1"/>
  <c r="N394" i="1"/>
  <c r="P394" i="1"/>
  <c r="O394" i="1"/>
  <c r="P411" i="1"/>
  <c r="O411" i="1"/>
  <c r="N411" i="1"/>
  <c r="N418" i="1"/>
  <c r="O418" i="1"/>
  <c r="P418" i="1"/>
  <c r="P469" i="1"/>
  <c r="N469" i="1"/>
  <c r="O469" i="1"/>
  <c r="R470" i="1" s="1"/>
  <c r="P467" i="1"/>
  <c r="O467" i="1"/>
  <c r="N467" i="1"/>
  <c r="Q468" i="1" s="1"/>
  <c r="O524" i="1"/>
  <c r="R525" i="1" s="1"/>
  <c r="P524" i="1"/>
  <c r="N524" i="1"/>
  <c r="P97" i="1"/>
  <c r="N97" i="1"/>
  <c r="O97" i="1"/>
  <c r="P129" i="1"/>
  <c r="O129" i="1"/>
  <c r="N129" i="1"/>
  <c r="N258" i="1"/>
  <c r="P258" i="1"/>
  <c r="O258" i="1"/>
  <c r="P63" i="1"/>
  <c r="S64" i="1" s="1"/>
  <c r="N63" i="1"/>
  <c r="Q64" i="1" s="1"/>
  <c r="O63" i="1"/>
  <c r="R64" i="1" s="1"/>
  <c r="P92" i="1"/>
  <c r="O92" i="1"/>
  <c r="N92" i="1"/>
  <c r="P515" i="1"/>
  <c r="O515" i="1"/>
  <c r="N515" i="1"/>
  <c r="P768" i="1"/>
  <c r="S769" i="1" s="1"/>
  <c r="O768" i="1"/>
  <c r="N768" i="1"/>
  <c r="P131" i="1"/>
  <c r="O131" i="1"/>
  <c r="N131" i="1"/>
  <c r="Q41" i="1"/>
  <c r="Q38" i="1"/>
  <c r="N240" i="1"/>
  <c r="P240" i="1"/>
  <c r="O240" i="1"/>
  <c r="N82" i="1"/>
  <c r="O82" i="1"/>
  <c r="P82" i="1"/>
  <c r="P150" i="1"/>
  <c r="O150" i="1"/>
  <c r="N150" i="1"/>
  <c r="O171" i="1"/>
  <c r="N171" i="1"/>
  <c r="P171" i="1"/>
  <c r="P664" i="1"/>
  <c r="S665" i="1" s="1"/>
  <c r="N664" i="1"/>
  <c r="O664" i="1"/>
  <c r="P663" i="1"/>
  <c r="O663" i="1"/>
  <c r="N663" i="1"/>
  <c r="P791" i="1"/>
  <c r="O791" i="1"/>
  <c r="N791" i="1"/>
  <c r="O811" i="1"/>
  <c r="P811" i="1"/>
  <c r="N811" i="1"/>
  <c r="O809" i="1"/>
  <c r="R810" i="1" s="1"/>
  <c r="N809" i="1"/>
  <c r="Q810" i="1" s="1"/>
  <c r="P809" i="1"/>
  <c r="S810" i="1" s="1"/>
  <c r="P541" i="1"/>
  <c r="O541" i="1"/>
  <c r="N541" i="1"/>
  <c r="P574" i="1"/>
  <c r="N574" i="1"/>
  <c r="O574" i="1"/>
  <c r="O567" i="1"/>
  <c r="R568" i="1" s="1"/>
  <c r="P567" i="1"/>
  <c r="S568" i="1" s="1"/>
  <c r="N567" i="1"/>
  <c r="Q568" i="1" s="1"/>
  <c r="P532" i="1"/>
  <c r="N532" i="1"/>
  <c r="O532" i="1"/>
  <c r="P208" i="1"/>
  <c r="O208" i="1"/>
  <c r="N208" i="1"/>
  <c r="O654" i="1"/>
  <c r="N654" i="1"/>
  <c r="P654" i="1"/>
  <c r="P280" i="1"/>
  <c r="N280" i="1"/>
  <c r="O280" i="1"/>
  <c r="P739" i="1"/>
  <c r="N739" i="1"/>
  <c r="O739" i="1"/>
  <c r="P755" i="1"/>
  <c r="O755" i="1"/>
  <c r="N755" i="1"/>
  <c r="Q756" i="1" s="1"/>
  <c r="P81" i="1"/>
  <c r="O81" i="1"/>
  <c r="N81" i="1"/>
  <c r="Q82" i="1" s="1"/>
  <c r="P206" i="1"/>
  <c r="N206" i="1"/>
  <c r="O206" i="1"/>
  <c r="P190" i="1"/>
  <c r="O190" i="1"/>
  <c r="N190" i="1"/>
  <c r="P222" i="1"/>
  <c r="O222" i="1"/>
  <c r="N222" i="1"/>
  <c r="O241" i="1"/>
  <c r="N241" i="1"/>
  <c r="P241" i="1"/>
  <c r="P270" i="1"/>
  <c r="S271" i="1" s="1"/>
  <c r="O270" i="1"/>
  <c r="N270" i="1"/>
  <c r="Q271" i="1" s="1"/>
  <c r="N353" i="1"/>
  <c r="O353" i="1"/>
  <c r="P353" i="1"/>
  <c r="O325" i="1"/>
  <c r="P325" i="1"/>
  <c r="N325" i="1"/>
  <c r="P368" i="1"/>
  <c r="S369" i="1" s="1"/>
  <c r="N368" i="1"/>
  <c r="O368" i="1"/>
  <c r="R369" i="1" s="1"/>
  <c r="P440" i="1"/>
  <c r="N440" i="1"/>
  <c r="O440" i="1"/>
  <c r="N417" i="1"/>
  <c r="P417" i="1"/>
  <c r="O417" i="1"/>
  <c r="P466" i="1"/>
  <c r="O466" i="1"/>
  <c r="N466" i="1"/>
  <c r="P473" i="1"/>
  <c r="N473" i="1"/>
  <c r="O473" i="1"/>
  <c r="O498" i="1"/>
  <c r="N498" i="1"/>
  <c r="P498" i="1"/>
  <c r="P100" i="1"/>
  <c r="N100" i="1"/>
  <c r="O100" i="1"/>
  <c r="P105" i="1"/>
  <c r="N105" i="1"/>
  <c r="O105" i="1"/>
  <c r="Q831" i="1"/>
  <c r="R2" i="1"/>
  <c r="R3" i="1"/>
  <c r="S3" i="1"/>
  <c r="S2" i="1"/>
  <c r="Q2" i="1"/>
  <c r="Q3" i="1"/>
  <c r="S30" i="1"/>
  <c r="R30" i="1"/>
  <c r="S29" i="1"/>
  <c r="R19" i="1"/>
  <c r="Q26" i="1"/>
  <c r="R29" i="1"/>
  <c r="Q19" i="1"/>
  <c r="S36" i="1"/>
  <c r="Q12" i="1"/>
  <c r="R16" i="1"/>
  <c r="R36" i="1"/>
  <c r="Q5" i="1"/>
  <c r="S41" i="1"/>
  <c r="Q36" i="1"/>
  <c r="R34" i="1"/>
  <c r="S38" i="1"/>
  <c r="Q22" i="1"/>
  <c r="Q29" i="1"/>
  <c r="S27" i="1"/>
  <c r="R9" i="1"/>
  <c r="R41" i="1"/>
  <c r="R23" i="1"/>
  <c r="R5" i="1"/>
  <c r="S12" i="1"/>
  <c r="R27" i="1"/>
  <c r="Q9" i="1"/>
  <c r="S20" i="1"/>
  <c r="S23" i="1"/>
  <c r="S34" i="1"/>
  <c r="S17" i="1"/>
  <c r="R20" i="1"/>
  <c r="Q23" i="1"/>
  <c r="S13" i="1"/>
  <c r="R31" i="1"/>
  <c r="Q20" i="1"/>
  <c r="Q13" i="1"/>
  <c r="Q31" i="1"/>
  <c r="S42" i="1"/>
  <c r="R13" i="1"/>
  <c r="S10" i="1"/>
  <c r="R42" i="1"/>
  <c r="Q45" i="1"/>
  <c r="S35" i="1"/>
  <c r="S31" i="1"/>
  <c r="S45" i="1"/>
  <c r="R45" i="1"/>
  <c r="R10" i="1"/>
  <c r="Q42" i="1"/>
  <c r="S24" i="1"/>
  <c r="Q39" i="1"/>
  <c r="Q60" i="1" l="1"/>
  <c r="Q214" i="1"/>
  <c r="Q326" i="1"/>
  <c r="S214" i="1"/>
  <c r="Q126" i="1"/>
  <c r="Q772" i="1"/>
  <c r="S126" i="1"/>
  <c r="R646" i="1"/>
  <c r="S33" i="1"/>
  <c r="R576" i="1"/>
  <c r="Q456" i="1"/>
  <c r="S259" i="1"/>
  <c r="S686" i="1"/>
  <c r="Q824" i="1"/>
  <c r="R323" i="1"/>
  <c r="S228" i="1"/>
  <c r="S6" i="1"/>
  <c r="Q208" i="1"/>
  <c r="S560" i="1"/>
  <c r="Q537" i="1"/>
  <c r="R824" i="1"/>
  <c r="Q323" i="1"/>
  <c r="Q481" i="1"/>
  <c r="S581" i="1"/>
  <c r="S323" i="1"/>
  <c r="Q304" i="1"/>
  <c r="S584" i="1"/>
  <c r="S524" i="1"/>
  <c r="S193" i="1"/>
  <c r="S104" i="1"/>
  <c r="R460" i="1"/>
  <c r="R781" i="1"/>
  <c r="S174" i="1"/>
  <c r="R613" i="1"/>
  <c r="S638" i="1"/>
  <c r="R253" i="1"/>
  <c r="Q571" i="1"/>
  <c r="Q495" i="1"/>
  <c r="R314" i="1"/>
  <c r="R32" i="1"/>
  <c r="S736" i="1"/>
  <c r="R671" i="1"/>
  <c r="Q505" i="1"/>
  <c r="Q173" i="1"/>
  <c r="S410" i="1"/>
  <c r="Q547" i="1"/>
  <c r="Q382" i="1"/>
  <c r="Q180" i="1"/>
  <c r="S694" i="1"/>
  <c r="R518" i="1"/>
  <c r="Q273" i="1"/>
  <c r="Q256" i="1"/>
  <c r="S703" i="1"/>
  <c r="S339" i="1"/>
  <c r="Q601" i="1"/>
  <c r="Q626" i="1"/>
  <c r="R495" i="1"/>
  <c r="S522" i="1"/>
  <c r="Q648" i="1"/>
  <c r="S833" i="1"/>
  <c r="R176" i="1"/>
  <c r="R503" i="1"/>
  <c r="S505" i="1"/>
  <c r="R250" i="1"/>
  <c r="R389" i="1"/>
  <c r="Q692" i="1"/>
  <c r="R61" i="1"/>
  <c r="Q437" i="1"/>
  <c r="S609" i="1"/>
  <c r="R136" i="1"/>
  <c r="R749" i="1"/>
  <c r="S256" i="1"/>
  <c r="Q634" i="1"/>
  <c r="R287" i="1"/>
  <c r="R145" i="1"/>
  <c r="R626" i="1"/>
  <c r="S495" i="1"/>
  <c r="Q198" i="1"/>
  <c r="Q265" i="1"/>
  <c r="S335" i="1"/>
  <c r="Q614" i="1"/>
  <c r="Q52" i="1"/>
  <c r="R407" i="1"/>
  <c r="R167" i="1"/>
  <c r="R709" i="1"/>
  <c r="Q760" i="1"/>
  <c r="R722" i="1"/>
  <c r="S659" i="1"/>
  <c r="S771" i="1"/>
  <c r="R252" i="1"/>
  <c r="S545" i="1"/>
  <c r="Q140" i="1"/>
  <c r="S472" i="1"/>
  <c r="R752" i="1"/>
  <c r="S252" i="1"/>
  <c r="Q387" i="1"/>
  <c r="Q75" i="1"/>
  <c r="S639" i="1"/>
  <c r="R67" i="1"/>
  <c r="S655" i="1"/>
  <c r="S387" i="1"/>
  <c r="R812" i="1"/>
  <c r="R329" i="1"/>
  <c r="R39" i="1"/>
  <c r="Q792" i="1"/>
  <c r="S283" i="1"/>
  <c r="R104" i="1"/>
  <c r="Q261" i="1"/>
  <c r="S152" i="1"/>
  <c r="Q88" i="1"/>
  <c r="Q519" i="1"/>
  <c r="Q123" i="1"/>
  <c r="R261" i="1"/>
  <c r="R246" i="1"/>
  <c r="S579" i="1"/>
  <c r="S50" i="1"/>
  <c r="Q517" i="1"/>
  <c r="Q287" i="1"/>
  <c r="Q826" i="1"/>
  <c r="R172" i="1"/>
  <c r="S761" i="1"/>
  <c r="R249" i="1"/>
  <c r="R605" i="1"/>
  <c r="R526" i="1"/>
  <c r="S288" i="1"/>
  <c r="R127" i="1"/>
  <c r="S741" i="1"/>
  <c r="Q773" i="1"/>
  <c r="S578" i="1"/>
  <c r="R624" i="1"/>
  <c r="S419" i="1"/>
  <c r="S760" i="1"/>
  <c r="Q453" i="1"/>
  <c r="R773" i="1"/>
  <c r="S546" i="1"/>
  <c r="Q406" i="1"/>
  <c r="R463" i="1"/>
  <c r="R419" i="1"/>
  <c r="S445" i="1"/>
  <c r="S83" i="1"/>
  <c r="R396" i="1"/>
  <c r="S330" i="1"/>
  <c r="Q814" i="1"/>
  <c r="S649" i="1"/>
  <c r="Q748" i="1"/>
  <c r="R348" i="1"/>
  <c r="Q659" i="1"/>
  <c r="R804" i="1"/>
  <c r="Q639" i="1"/>
  <c r="Q560" i="1"/>
  <c r="R154" i="1"/>
  <c r="Q641" i="1"/>
  <c r="Q242" i="1"/>
  <c r="R227" i="1"/>
  <c r="R602" i="1"/>
  <c r="R543" i="1"/>
  <c r="R641" i="1"/>
  <c r="R467" i="1"/>
  <c r="R698" i="1"/>
  <c r="Q385" i="1"/>
  <c r="R500" i="1"/>
  <c r="S139" i="1"/>
  <c r="Q758" i="1"/>
  <c r="Q160" i="1"/>
  <c r="S602" i="1"/>
  <c r="R483" i="1"/>
  <c r="R636" i="1"/>
  <c r="Q500" i="1"/>
  <c r="R166" i="1"/>
  <c r="R820" i="1"/>
  <c r="Q682" i="1"/>
  <c r="R600" i="1"/>
  <c r="Q132" i="1"/>
  <c r="R350" i="1"/>
  <c r="R669" i="1"/>
  <c r="Q820" i="1"/>
  <c r="S792" i="1"/>
  <c r="S683" i="1"/>
  <c r="R714" i="1"/>
  <c r="R765" i="1"/>
  <c r="S108" i="1"/>
  <c r="R541" i="1"/>
  <c r="S98" i="1"/>
  <c r="R108" i="1"/>
  <c r="R621" i="1"/>
  <c r="S615" i="1"/>
  <c r="R516" i="1"/>
  <c r="S780" i="1"/>
  <c r="S789" i="1"/>
  <c r="R203" i="1"/>
  <c r="S273" i="1"/>
  <c r="R409" i="1"/>
  <c r="S517" i="1"/>
  <c r="R52" i="1"/>
  <c r="Q504" i="1"/>
  <c r="Q624" i="1"/>
  <c r="S101" i="1"/>
  <c r="Q709" i="1"/>
  <c r="Q741" i="1"/>
  <c r="Q558" i="1"/>
  <c r="R186" i="1"/>
  <c r="S453" i="1"/>
  <c r="S406" i="1"/>
  <c r="Q740" i="1"/>
  <c r="Q419" i="1"/>
  <c r="Q216" i="1"/>
  <c r="Q252" i="1"/>
  <c r="Q63" i="1"/>
  <c r="S115" i="1"/>
  <c r="Q770" i="1"/>
  <c r="R307" i="1"/>
  <c r="S285" i="1"/>
  <c r="S474" i="1"/>
  <c r="Q543" i="1"/>
  <c r="R139" i="1"/>
  <c r="S528" i="1"/>
  <c r="R291" i="1"/>
  <c r="S281" i="1"/>
  <c r="Q259" i="1"/>
  <c r="S370" i="1"/>
  <c r="Q307" i="1"/>
  <c r="R343" i="1"/>
  <c r="R242" i="1"/>
  <c r="S812" i="1"/>
  <c r="S426" i="1"/>
  <c r="S543" i="1"/>
  <c r="S611" i="1"/>
  <c r="Q655" i="1"/>
  <c r="R130" i="1"/>
  <c r="S456" i="1"/>
  <c r="R385" i="1"/>
  <c r="R225" i="1"/>
  <c r="Q611" i="1"/>
  <c r="Q509" i="1"/>
  <c r="S67" i="1"/>
  <c r="R58" i="1"/>
  <c r="Q152" i="1"/>
  <c r="Q202" i="1"/>
  <c r="S244" i="1"/>
  <c r="S836" i="1"/>
  <c r="S385" i="1"/>
  <c r="Q298" i="1"/>
  <c r="Q483" i="1"/>
  <c r="S329" i="1"/>
  <c r="Q801" i="1"/>
  <c r="R98" i="1"/>
  <c r="R458" i="1"/>
  <c r="Q765" i="1"/>
  <c r="Q667" i="1"/>
  <c r="Q541" i="1"/>
  <c r="S627" i="1"/>
  <c r="S450" i="1"/>
  <c r="Q678" i="1"/>
  <c r="Q191" i="1"/>
  <c r="R209" i="1"/>
  <c r="S413" i="1"/>
  <c r="Q669" i="1"/>
  <c r="S820" i="1"/>
  <c r="R536" i="1"/>
  <c r="R682" i="1"/>
  <c r="R493" i="1"/>
  <c r="R481" i="1"/>
  <c r="R441" i="1"/>
  <c r="S209" i="1"/>
  <c r="Q315" i="1"/>
  <c r="S458" i="1"/>
  <c r="S714" i="1"/>
  <c r="Q816" i="1"/>
  <c r="S88" i="1"/>
  <c r="S374" i="1"/>
  <c r="S536" i="1"/>
  <c r="S541" i="1"/>
  <c r="Q705" i="1"/>
  <c r="S825" i="1"/>
  <c r="S449" i="1"/>
  <c r="R255" i="1"/>
  <c r="Q604" i="1"/>
  <c r="R238" i="1"/>
  <c r="R757" i="1"/>
  <c r="S191" i="1"/>
  <c r="Q769" i="1"/>
  <c r="R71" i="1"/>
  <c r="Q833" i="1"/>
  <c r="Q503" i="1"/>
  <c r="S295" i="1"/>
  <c r="S598" i="1"/>
  <c r="S705" i="1"/>
  <c r="S229" i="1"/>
  <c r="R449" i="1"/>
  <c r="S561" i="1"/>
  <c r="Q616" i="1"/>
  <c r="S363" i="1"/>
  <c r="S557" i="1"/>
  <c r="R769" i="1"/>
  <c r="Q697" i="1"/>
  <c r="S149" i="1"/>
  <c r="S299" i="1"/>
  <c r="R833" i="1"/>
  <c r="S666" i="1"/>
  <c r="S503" i="1"/>
  <c r="Q700" i="1"/>
  <c r="S816" i="1"/>
  <c r="R705" i="1"/>
  <c r="Q622" i="1"/>
  <c r="S342" i="1"/>
  <c r="S238" i="1"/>
  <c r="R77" i="1"/>
  <c r="R561" i="1"/>
  <c r="R616" i="1"/>
  <c r="Q368" i="1"/>
  <c r="Q540" i="1"/>
  <c r="Q666" i="1"/>
  <c r="R664" i="1"/>
  <c r="Q107" i="1"/>
  <c r="R368" i="1"/>
  <c r="R367" i="1"/>
  <c r="S197" i="1"/>
  <c r="S368" i="1"/>
  <c r="Q314" i="1"/>
  <c r="Q708" i="1"/>
  <c r="R798" i="1"/>
  <c r="Q148" i="1"/>
  <c r="Q428" i="1"/>
  <c r="S206" i="1"/>
  <c r="R44" i="1"/>
  <c r="R43" i="1"/>
  <c r="S709" i="1"/>
  <c r="R148" i="1"/>
  <c r="S566" i="1"/>
  <c r="Q567" i="1"/>
  <c r="R818" i="1"/>
  <c r="R465" i="1"/>
  <c r="R257" i="1"/>
  <c r="S466" i="1"/>
  <c r="S646" i="1"/>
  <c r="Q465" i="1"/>
  <c r="S412" i="1"/>
  <c r="S16" i="1"/>
  <c r="Q696" i="1"/>
  <c r="Q154" i="1"/>
  <c r="R596" i="1"/>
  <c r="S748" i="1"/>
  <c r="Q70" i="1"/>
  <c r="Q596" i="1"/>
  <c r="R70" i="1"/>
  <c r="S181" i="1"/>
  <c r="R457" i="1"/>
  <c r="S644" i="1"/>
  <c r="S643" i="1"/>
  <c r="Q35" i="1"/>
  <c r="Q34" i="1"/>
  <c r="R668" i="1"/>
  <c r="Q806" i="1"/>
  <c r="Q463" i="1"/>
  <c r="R696" i="1"/>
  <c r="R208" i="1"/>
  <c r="Q657" i="1"/>
  <c r="Q467" i="1"/>
  <c r="R695" i="1"/>
  <c r="Q695" i="1"/>
  <c r="R387" i="1"/>
  <c r="Q139" i="1"/>
  <c r="R284" i="1"/>
  <c r="S596" i="1"/>
  <c r="Q16" i="1"/>
  <c r="Q15" i="1"/>
  <c r="Q768" i="1"/>
  <c r="Q477" i="1"/>
  <c r="S114" i="1"/>
  <c r="S641" i="1"/>
  <c r="Q284" i="1"/>
  <c r="R657" i="1"/>
  <c r="Q836" i="1"/>
  <c r="S768" i="1"/>
  <c r="Q600" i="1"/>
  <c r="Q66" i="1"/>
  <c r="R201" i="1"/>
  <c r="Q615" i="1"/>
  <c r="Q793" i="1"/>
  <c r="R370" i="1"/>
  <c r="R308" i="1"/>
  <c r="Q476" i="1"/>
  <c r="R248" i="1"/>
  <c r="R837" i="1"/>
  <c r="Q430" i="1"/>
  <c r="S708" i="1"/>
  <c r="S773" i="1"/>
  <c r="R607" i="1"/>
  <c r="S427" i="1"/>
  <c r="R558" i="1"/>
  <c r="Q167" i="1"/>
  <c r="S614" i="1"/>
  <c r="R73" i="1"/>
  <c r="R162" i="1"/>
  <c r="S136" i="1"/>
  <c r="Q231" i="1"/>
  <c r="S287" i="1"/>
  <c r="R826" i="1"/>
  <c r="S52" i="1"/>
  <c r="Q288" i="1"/>
  <c r="Q732" i="1"/>
  <c r="Q408" i="1"/>
  <c r="R480" i="1"/>
  <c r="R537" i="1"/>
  <c r="S476" i="1"/>
  <c r="S656" i="1"/>
  <c r="R430" i="1"/>
  <c r="R115" i="1"/>
  <c r="Q282" i="1"/>
  <c r="R155" i="1"/>
  <c r="S607" i="1"/>
  <c r="S558" i="1"/>
  <c r="S396" i="1"/>
  <c r="S167" i="1"/>
  <c r="S588" i="1"/>
  <c r="S327" i="1"/>
  <c r="R672" i="1"/>
  <c r="R614" i="1"/>
  <c r="S73" i="1"/>
  <c r="R406" i="1"/>
  <c r="S357" i="1"/>
  <c r="Q162" i="1"/>
  <c r="Q74" i="1"/>
  <c r="R422" i="1"/>
  <c r="S729" i="1"/>
  <c r="S526" i="1"/>
  <c r="S826" i="1"/>
  <c r="Q79" i="1"/>
  <c r="R414" i="1"/>
  <c r="R288" i="1"/>
  <c r="Q371" i="1"/>
  <c r="R327" i="1"/>
  <c r="S140" i="1"/>
  <c r="S818" i="1"/>
  <c r="S162" i="1"/>
  <c r="R74" i="1"/>
  <c r="Q422" i="1"/>
  <c r="S231" i="1"/>
  <c r="R79" i="1"/>
  <c r="Q527" i="1"/>
  <c r="S76" i="1"/>
  <c r="R268" i="1"/>
  <c r="R191" i="1"/>
  <c r="Q664" i="1"/>
  <c r="Q98" i="1"/>
  <c r="R152" i="1"/>
  <c r="Q413" i="1"/>
  <c r="S537" i="1"/>
  <c r="R283" i="1"/>
  <c r="Q166" i="1"/>
  <c r="Q479" i="1"/>
  <c r="Q319" i="1"/>
  <c r="Q426" i="1"/>
  <c r="R656" i="1"/>
  <c r="R768" i="1"/>
  <c r="R302" i="1"/>
  <c r="S388" i="1"/>
  <c r="Q720" i="1"/>
  <c r="R545" i="1"/>
  <c r="Q111" i="1"/>
  <c r="R588" i="1"/>
  <c r="R508" i="1"/>
  <c r="S764" i="1"/>
  <c r="R590" i="1"/>
  <c r="Q818" i="1"/>
  <c r="R357" i="1"/>
  <c r="S74" i="1"/>
  <c r="S422" i="1"/>
  <c r="R729" i="1"/>
  <c r="R182" i="1"/>
  <c r="Q646" i="1"/>
  <c r="S79" i="1"/>
  <c r="Q268" i="1"/>
  <c r="R444" i="1"/>
  <c r="R727" i="1"/>
  <c r="R198" i="1"/>
  <c r="Q171" i="1"/>
  <c r="S240" i="1"/>
  <c r="Q401" i="1"/>
  <c r="Q93" i="1"/>
  <c r="S468" i="1"/>
  <c r="S265" i="1"/>
  <c r="R529" i="1"/>
  <c r="S102" i="1"/>
  <c r="S594" i="1"/>
  <c r="R452" i="1"/>
  <c r="Q475" i="1"/>
  <c r="Q376" i="1"/>
  <c r="R375" i="1"/>
  <c r="S671" i="1"/>
  <c r="Q105" i="1"/>
  <c r="Q536" i="1"/>
  <c r="S347" i="1"/>
  <c r="R674" i="1"/>
  <c r="Q322" i="1"/>
  <c r="S298" i="1"/>
  <c r="R582" i="1"/>
  <c r="R69" i="1"/>
  <c r="S797" i="1"/>
  <c r="Q57" i="1"/>
  <c r="S306" i="1"/>
  <c r="Q829" i="1"/>
  <c r="S309" i="1"/>
  <c r="S58" i="1"/>
  <c r="Q745" i="1"/>
  <c r="S431" i="1"/>
  <c r="S113" i="1"/>
  <c r="R150" i="1"/>
  <c r="R782" i="1"/>
  <c r="R189" i="1"/>
  <c r="R170" i="1"/>
  <c r="Q291" i="1"/>
  <c r="S417" i="1"/>
  <c r="Q343" i="1"/>
  <c r="R438" i="1"/>
  <c r="Q784" i="1"/>
  <c r="R112" i="1"/>
  <c r="S392" i="1"/>
  <c r="R205" i="1"/>
  <c r="Q472" i="1"/>
  <c r="R654" i="1"/>
  <c r="R129" i="1"/>
  <c r="Q767" i="1"/>
  <c r="S500" i="1"/>
  <c r="S404" i="1"/>
  <c r="S600" i="1"/>
  <c r="R724" i="1"/>
  <c r="R93" i="1"/>
  <c r="Q529" i="1"/>
  <c r="S376" i="1"/>
  <c r="S551" i="1"/>
  <c r="Q782" i="1"/>
  <c r="S133" i="1"/>
  <c r="S291" i="1"/>
  <c r="Q438" i="1"/>
  <c r="Q556" i="1"/>
  <c r="Q169" i="1"/>
  <c r="R161" i="1"/>
  <c r="S403" i="1"/>
  <c r="R756" i="1"/>
  <c r="Q151" i="1"/>
  <c r="S93" i="1"/>
  <c r="S813" i="1"/>
  <c r="S529" i="1"/>
  <c r="Q498" i="1"/>
  <c r="R317" i="1"/>
  <c r="R165" i="1"/>
  <c r="S452" i="1"/>
  <c r="S475" i="1"/>
  <c r="Q226" i="1"/>
  <c r="Q629" i="1"/>
  <c r="R105" i="1"/>
  <c r="Q650" i="1"/>
  <c r="R598" i="1"/>
  <c r="S177" i="1"/>
  <c r="Q234" i="1"/>
  <c r="Q674" i="1"/>
  <c r="Q506" i="1"/>
  <c r="R304" i="1"/>
  <c r="S743" i="1"/>
  <c r="S57" i="1"/>
  <c r="S481" i="1"/>
  <c r="Q229" i="1"/>
  <c r="Q645" i="1"/>
  <c r="Q449" i="1"/>
  <c r="Q565" i="1"/>
  <c r="S294" i="1"/>
  <c r="R184" i="1"/>
  <c r="Q496" i="1"/>
  <c r="S170" i="1"/>
  <c r="R758" i="1"/>
  <c r="S343" i="1"/>
  <c r="S438" i="1"/>
  <c r="Q188" i="1"/>
  <c r="R556" i="1"/>
  <c r="S784" i="1"/>
  <c r="S169" i="1"/>
  <c r="S161" i="1"/>
  <c r="Q142" i="1"/>
  <c r="R293" i="1"/>
  <c r="S205" i="1"/>
  <c r="R472" i="1"/>
  <c r="Q534" i="1"/>
  <c r="R97" i="1"/>
  <c r="S129" i="1"/>
  <c r="S674" i="1"/>
  <c r="S654" i="1"/>
  <c r="S756" i="1"/>
  <c r="Q542" i="1"/>
  <c r="R151" i="1"/>
  <c r="R263" i="1"/>
  <c r="R498" i="1"/>
  <c r="S317" i="1"/>
  <c r="R741" i="1"/>
  <c r="R126" i="1"/>
  <c r="S165" i="1"/>
  <c r="Q425" i="1"/>
  <c r="R226" i="1"/>
  <c r="S650" i="1"/>
  <c r="R505" i="1"/>
  <c r="R364" i="1"/>
  <c r="S220" i="1"/>
  <c r="Q305" i="1"/>
  <c r="R117" i="1"/>
  <c r="R332" i="1"/>
  <c r="R297" i="1"/>
  <c r="R175" i="1"/>
  <c r="R747" i="1"/>
  <c r="Q791" i="1"/>
  <c r="Q661" i="1"/>
  <c r="S565" i="1"/>
  <c r="S676" i="1"/>
  <c r="R245" i="1"/>
  <c r="R362" i="1"/>
  <c r="S758" i="1"/>
  <c r="S502" i="1"/>
  <c r="R391" i="1"/>
  <c r="R188" i="1"/>
  <c r="S556" i="1"/>
  <c r="R169" i="1"/>
  <c r="R142" i="1"/>
  <c r="Q803" i="1"/>
  <c r="R440" i="1"/>
  <c r="S534" i="1"/>
  <c r="S97" i="1"/>
  <c r="S593" i="1"/>
  <c r="R87" i="1"/>
  <c r="Q205" i="1"/>
  <c r="S498" i="1"/>
  <c r="Q738" i="1"/>
  <c r="S425" i="1"/>
  <c r="S226" i="1"/>
  <c r="R488" i="1"/>
  <c r="S321" i="1"/>
  <c r="R744" i="1"/>
  <c r="S49" i="1"/>
  <c r="Q579" i="1"/>
  <c r="R229" i="1"/>
  <c r="R762" i="1"/>
  <c r="Q411" i="1"/>
  <c r="Q194" i="1"/>
  <c r="S631" i="1"/>
  <c r="R572" i="1"/>
  <c r="R702" i="1"/>
  <c r="Q332" i="1"/>
  <c r="Q175" i="1"/>
  <c r="S519" i="1"/>
  <c r="R791" i="1"/>
  <c r="R565" i="1"/>
  <c r="Q362" i="1"/>
  <c r="S496" i="1"/>
  <c r="S726" i="1"/>
  <c r="R211" i="1"/>
  <c r="Q352" i="1"/>
  <c r="Q809" i="1"/>
  <c r="Q502" i="1"/>
  <c r="Q124" i="1"/>
  <c r="Q391" i="1"/>
  <c r="S188" i="1"/>
  <c r="Q491" i="1"/>
  <c r="R735" i="1"/>
  <c r="S142" i="1"/>
  <c r="Q239" i="1"/>
  <c r="S803" i="1"/>
  <c r="Q440" i="1"/>
  <c r="R534" i="1"/>
  <c r="R451" i="1"/>
  <c r="Q594" i="1"/>
  <c r="R659" i="1"/>
  <c r="Q598" i="1"/>
  <c r="Q129" i="1"/>
  <c r="R109" i="1"/>
  <c r="Q445" i="1"/>
  <c r="Q815" i="1"/>
  <c r="R738" i="1"/>
  <c r="R425" i="1"/>
  <c r="Q217" i="1"/>
  <c r="Q699" i="1"/>
  <c r="Q55" i="1"/>
  <c r="Q277" i="1"/>
  <c r="Q744" i="1"/>
  <c r="R579" i="1"/>
  <c r="Q253" i="1"/>
  <c r="R578" i="1"/>
  <c r="R436" i="1"/>
  <c r="Q251" i="1"/>
  <c r="S623" i="1"/>
  <c r="Q781" i="1"/>
  <c r="S381" i="1"/>
  <c r="S194" i="1"/>
  <c r="Q548" i="1"/>
  <c r="Q460" i="1"/>
  <c r="Q515" i="1"/>
  <c r="S332" i="1"/>
  <c r="Q723" i="1"/>
  <c r="R519" i="1"/>
  <c r="Q274" i="1"/>
  <c r="Q585" i="1"/>
  <c r="R100" i="1"/>
  <c r="S362" i="1"/>
  <c r="Q718" i="1"/>
  <c r="R563" i="1"/>
  <c r="S78" i="1"/>
  <c r="Q300" i="1"/>
  <c r="R685" i="1"/>
  <c r="R352" i="1"/>
  <c r="R502" i="1"/>
  <c r="R124" i="1"/>
  <c r="Q85" i="1"/>
  <c r="S680" i="1"/>
  <c r="S735" i="1"/>
  <c r="R239" i="1"/>
  <c r="R803" i="1"/>
  <c r="S440" i="1"/>
  <c r="Q593" i="1"/>
  <c r="R102" i="1"/>
  <c r="S428" i="1"/>
  <c r="R271" i="1"/>
  <c r="R815" i="1"/>
  <c r="Q159" i="1"/>
  <c r="Q301" i="1"/>
  <c r="S420" i="1"/>
  <c r="Q407" i="1"/>
  <c r="S744" i="1"/>
  <c r="Q621" i="1"/>
  <c r="Q578" i="1"/>
  <c r="Q247" i="1"/>
  <c r="Q436" i="1"/>
  <c r="S251" i="1"/>
  <c r="Q555" i="1"/>
  <c r="S515" i="1"/>
  <c r="Q286" i="1"/>
  <c r="S723" i="1"/>
  <c r="S604" i="1"/>
  <c r="Q51" i="1"/>
  <c r="R461" i="1"/>
  <c r="R274" i="1"/>
  <c r="S585" i="1"/>
  <c r="Q312" i="1"/>
  <c r="R718" i="1"/>
  <c r="S563" i="1"/>
  <c r="Q726" i="1"/>
  <c r="R95" i="1"/>
  <c r="R300" i="1"/>
  <c r="S352" i="1"/>
  <c r="Q688" i="1"/>
  <c r="R213" i="1"/>
  <c r="S124" i="1"/>
  <c r="S334" i="1"/>
  <c r="R85" i="1"/>
  <c r="Q146" i="1"/>
  <c r="Q653" i="1"/>
  <c r="S667" i="1"/>
  <c r="S378" i="1"/>
  <c r="R347" i="1"/>
  <c r="R797" i="1"/>
  <c r="S284" i="1"/>
  <c r="S721" i="1"/>
  <c r="S189" i="1"/>
  <c r="R232" i="1"/>
  <c r="Q640" i="1"/>
  <c r="Q186" i="1"/>
  <c r="R392" i="1"/>
  <c r="R101" i="1"/>
  <c r="S172" i="1"/>
  <c r="S835" i="1"/>
  <c r="R376" i="1"/>
  <c r="Q671" i="1"/>
  <c r="Q347" i="1"/>
  <c r="S767" i="1"/>
  <c r="R322" i="1"/>
  <c r="S237" i="1"/>
  <c r="S636" i="1"/>
  <c r="Q797" i="1"/>
  <c r="S66" i="1"/>
  <c r="Q309" i="1"/>
  <c r="Q538" i="1"/>
  <c r="S393" i="1"/>
  <c r="Q185" i="1"/>
  <c r="R133" i="1"/>
  <c r="Q189" i="1"/>
  <c r="Q392" i="1"/>
  <c r="R326" i="1"/>
  <c r="Q416" i="1"/>
  <c r="Q813" i="1"/>
  <c r="Q452" i="1"/>
  <c r="S105" i="1"/>
  <c r="R650" i="1"/>
  <c r="S234" i="1"/>
  <c r="S645" i="1"/>
  <c r="S185" i="1"/>
  <c r="S151" i="1"/>
  <c r="S109" i="1"/>
  <c r="Q109" i="1"/>
  <c r="R217" i="1"/>
  <c r="R216" i="1"/>
  <c r="R686" i="1"/>
  <c r="Q752" i="1"/>
  <c r="R445" i="1"/>
  <c r="S815" i="1"/>
  <c r="S131" i="1"/>
  <c r="S217" i="1"/>
  <c r="S510" i="1"/>
  <c r="R301" i="1"/>
  <c r="S55" i="1"/>
  <c r="S504" i="1"/>
  <c r="R775" i="1"/>
  <c r="S247" i="1"/>
  <c r="S382" i="1"/>
  <c r="S548" i="1"/>
  <c r="R200" i="1"/>
  <c r="Q694" i="1"/>
  <c r="R723" i="1"/>
  <c r="S274" i="1"/>
  <c r="Q644" i="1"/>
  <c r="R737" i="1"/>
  <c r="Q339" i="1"/>
  <c r="R494" i="1"/>
  <c r="R585" i="1"/>
  <c r="Q138" i="1"/>
  <c r="Q789" i="1"/>
  <c r="Q492" i="1"/>
  <c r="Q174" i="1"/>
  <c r="S312" i="1"/>
  <c r="Q613" i="1"/>
  <c r="R638" i="1"/>
  <c r="S300" i="1"/>
  <c r="R144" i="1"/>
  <c r="R688" i="1"/>
  <c r="R733" i="1"/>
  <c r="S85" i="1"/>
  <c r="Q591" i="1"/>
  <c r="R146" i="1"/>
  <c r="Q324" i="1"/>
  <c r="Q636" i="1"/>
  <c r="R309" i="1"/>
  <c r="S516" i="1"/>
  <c r="R298" i="1"/>
  <c r="R475" i="1"/>
  <c r="R57" i="1"/>
  <c r="Q97" i="1"/>
  <c r="S542" i="1"/>
  <c r="S263" i="1"/>
  <c r="R281" i="1"/>
  <c r="Q412" i="1"/>
  <c r="S242" i="1"/>
  <c r="Q281" i="1"/>
  <c r="R241" i="1"/>
  <c r="R259" i="1"/>
  <c r="R412" i="1"/>
  <c r="S216" i="1"/>
  <c r="R560" i="1"/>
  <c r="Q686" i="1"/>
  <c r="R504" i="1"/>
  <c r="S276" i="1"/>
  <c r="Q742" i="1"/>
  <c r="S407" i="1"/>
  <c r="Q48" i="1"/>
  <c r="S454" i="1"/>
  <c r="Q249" i="1"/>
  <c r="R484" i="1"/>
  <c r="S775" i="1"/>
  <c r="R410" i="1"/>
  <c r="Q389" i="1"/>
  <c r="S203" i="1"/>
  <c r="S571" i="1"/>
  <c r="S692" i="1"/>
  <c r="Q118" i="1"/>
  <c r="R382" i="1"/>
  <c r="R50" i="1"/>
  <c r="R400" i="1"/>
  <c r="R609" i="1"/>
  <c r="R694" i="1"/>
  <c r="R256" i="1"/>
  <c r="R644" i="1"/>
  <c r="R517" i="1"/>
  <c r="R339" i="1"/>
  <c r="S494" i="1"/>
  <c r="R601" i="1"/>
  <c r="R138" i="1"/>
  <c r="R789" i="1"/>
  <c r="S492" i="1"/>
  <c r="R312" i="1"/>
  <c r="Q95" i="1"/>
  <c r="Q736" i="1"/>
  <c r="S144" i="1"/>
  <c r="S733" i="1"/>
  <c r="S591" i="1"/>
  <c r="S146" i="1"/>
  <c r="S43" i="1"/>
  <c r="R14" i="1"/>
  <c r="R12" i="1"/>
  <c r="R663" i="1"/>
  <c r="R662" i="1"/>
  <c r="Q375" i="1"/>
  <c r="S46" i="1"/>
  <c r="S47" i="1"/>
  <c r="Q374" i="1"/>
  <c r="Q263" i="1"/>
  <c r="Q262" i="1"/>
  <c r="S658" i="1"/>
  <c r="R499" i="1"/>
  <c r="Q280" i="1"/>
  <c r="Q270" i="1"/>
  <c r="Q46" i="1"/>
  <c r="Q47" i="1"/>
  <c r="R321" i="1"/>
  <c r="Q150" i="1"/>
  <c r="R428" i="1"/>
  <c r="R771" i="1"/>
  <c r="R83" i="1"/>
  <c r="R760" i="1"/>
  <c r="S270" i="1"/>
  <c r="Q570" i="1"/>
  <c r="Q569" i="1"/>
  <c r="Q635" i="1"/>
  <c r="Q89" i="1"/>
  <c r="S783" i="1"/>
  <c r="S574" i="1"/>
  <c r="S575" i="1"/>
  <c r="S375" i="1"/>
  <c r="S399" i="1"/>
  <c r="S398" i="1"/>
  <c r="S630" i="1"/>
  <c r="Q717" i="1"/>
  <c r="S629" i="1"/>
  <c r="R46" i="1"/>
  <c r="R47" i="1"/>
  <c r="R374" i="1"/>
  <c r="S258" i="1"/>
  <c r="S96" i="1"/>
  <c r="S699" i="1"/>
  <c r="R89" i="1"/>
  <c r="Q750" i="1"/>
  <c r="Q751" i="1"/>
  <c r="R474" i="1"/>
  <c r="S740" i="1"/>
  <c r="Q474" i="1"/>
  <c r="Q83" i="1"/>
  <c r="S280" i="1"/>
  <c r="S72" i="1"/>
  <c r="Q170" i="1"/>
  <c r="Q574" i="1"/>
  <c r="Q575" i="1"/>
  <c r="R471" i="1"/>
  <c r="S471" i="1"/>
  <c r="S618" i="1"/>
  <c r="S619" i="1"/>
  <c r="S246" i="1"/>
  <c r="S718" i="1"/>
  <c r="S717" i="1"/>
  <c r="Q134" i="1"/>
  <c r="Q135" i="1"/>
  <c r="Q471" i="1"/>
  <c r="S685" i="1"/>
  <c r="R491" i="1"/>
  <c r="R539" i="1"/>
  <c r="S249" i="1"/>
  <c r="S351" i="1"/>
  <c r="Q755" i="1"/>
  <c r="Q618" i="1"/>
  <c r="Q619" i="1"/>
  <c r="S173" i="1"/>
  <c r="Q668" i="1"/>
  <c r="R94" i="1"/>
  <c r="R553" i="1"/>
  <c r="R174" i="1"/>
  <c r="S648" i="1"/>
  <c r="S613" i="1"/>
  <c r="R135" i="1"/>
  <c r="R134" i="1"/>
  <c r="R435" i="1"/>
  <c r="Q638" i="1"/>
  <c r="S95" i="1"/>
  <c r="Q213" i="1"/>
  <c r="R681" i="1"/>
  <c r="Q50" i="1"/>
  <c r="S100" i="1"/>
  <c r="R236" i="1"/>
  <c r="Q546" i="1"/>
  <c r="S138" i="1"/>
  <c r="R540" i="1"/>
  <c r="R581" i="1"/>
  <c r="S248" i="1"/>
  <c r="R814" i="1"/>
  <c r="Q501" i="1"/>
  <c r="Q115" i="1"/>
  <c r="S282" i="1"/>
  <c r="R427" i="1"/>
  <c r="R235" i="1"/>
  <c r="Q691" i="1"/>
  <c r="Q690" i="1"/>
  <c r="R397" i="1"/>
  <c r="Q599" i="1"/>
  <c r="R273" i="1"/>
  <c r="S409" i="1"/>
  <c r="S601" i="1"/>
  <c r="S90" i="1"/>
  <c r="S91" i="1"/>
  <c r="Q812" i="1"/>
  <c r="Q680" i="1"/>
  <c r="Q679" i="1"/>
  <c r="Q246" i="1"/>
  <c r="R571" i="1"/>
  <c r="Q685" i="1"/>
  <c r="R381" i="1"/>
  <c r="R380" i="1"/>
  <c r="S134" i="1"/>
  <c r="S135" i="1"/>
  <c r="Q703" i="1"/>
  <c r="S245" i="1"/>
  <c r="S236" i="1"/>
  <c r="Q684" i="1"/>
  <c r="Q715" i="1"/>
  <c r="Q195" i="1"/>
  <c r="S377" i="1"/>
  <c r="R612" i="1"/>
  <c r="S672" i="1"/>
  <c r="Q397" i="1"/>
  <c r="S437" i="1"/>
  <c r="R599" i="1"/>
  <c r="Q201" i="1"/>
  <c r="Q145" i="1"/>
  <c r="Q704" i="1"/>
  <c r="S555" i="1"/>
  <c r="R755" i="1"/>
  <c r="Q238" i="1"/>
  <c r="R717" i="1"/>
  <c r="R684" i="1"/>
  <c r="Q764" i="1"/>
  <c r="Q612" i="1"/>
  <c r="R331" i="1"/>
  <c r="S583" i="1"/>
  <c r="S599" i="1"/>
  <c r="R231" i="1"/>
  <c r="Q766" i="1"/>
  <c r="R433" i="1"/>
  <c r="S201" i="1"/>
  <c r="R531" i="1"/>
  <c r="R530" i="1"/>
  <c r="S241" i="1"/>
  <c r="R524" i="1"/>
  <c r="Q295" i="1"/>
  <c r="S202" i="1"/>
  <c r="R836" i="1"/>
  <c r="S673" i="1"/>
  <c r="Q649" i="1"/>
  <c r="R677" i="1"/>
  <c r="R330" i="1"/>
  <c r="R764" i="1"/>
  <c r="S612" i="1"/>
  <c r="S514" i="1"/>
  <c r="Q73" i="1"/>
  <c r="R808" i="1"/>
  <c r="S633" i="1"/>
  <c r="R766" i="1"/>
  <c r="Q182" i="1"/>
  <c r="S530" i="1"/>
  <c r="S531" i="1"/>
  <c r="R295" i="1"/>
  <c r="Q367" i="1"/>
  <c r="R667" i="1"/>
  <c r="Q121" i="1"/>
  <c r="Q120" i="1"/>
  <c r="S92" i="1"/>
  <c r="R673" i="1"/>
  <c r="Q311" i="1"/>
  <c r="Q310" i="1"/>
  <c r="R140" i="1"/>
  <c r="Q808" i="1"/>
  <c r="S766" i="1"/>
  <c r="R477" i="1"/>
  <c r="R114" i="1"/>
  <c r="S670" i="1"/>
  <c r="S121" i="1"/>
  <c r="S120" i="1"/>
  <c r="Q225" i="1"/>
  <c r="R92" i="1"/>
  <c r="Q545" i="1"/>
  <c r="R486" i="1"/>
  <c r="R487" i="1"/>
  <c r="R310" i="1"/>
  <c r="R311" i="1"/>
  <c r="R649" i="1"/>
  <c r="R163" i="1"/>
  <c r="Q330" i="1"/>
  <c r="Q266" i="1"/>
  <c r="Q267" i="1"/>
  <c r="R164" i="1"/>
  <c r="S384" i="1"/>
  <c r="Q241" i="1"/>
  <c r="Q410" i="1"/>
  <c r="S622" i="1"/>
  <c r="Q780" i="1"/>
  <c r="Q779" i="1"/>
  <c r="R726" i="1"/>
  <c r="R680" i="1"/>
  <c r="S293" i="1"/>
  <c r="Q204" i="1"/>
  <c r="Q400" i="1"/>
  <c r="R492" i="1"/>
  <c r="Q65" i="1"/>
  <c r="R809" i="1"/>
  <c r="S391" i="1"/>
  <c r="R593" i="1"/>
  <c r="Q351" i="1"/>
  <c r="S250" i="1"/>
  <c r="R501" i="1"/>
  <c r="R691" i="1"/>
  <c r="R690" i="1"/>
  <c r="R141" i="1"/>
  <c r="S688" i="1"/>
  <c r="S107" i="1"/>
  <c r="S106" i="1"/>
  <c r="R296" i="1"/>
  <c r="R320" i="1"/>
  <c r="R319" i="1"/>
  <c r="R299" i="1"/>
  <c r="R469" i="1"/>
  <c r="R82" i="1"/>
  <c r="S390" i="1"/>
  <c r="R835" i="1"/>
  <c r="Q108" i="1"/>
  <c r="R378" i="1"/>
  <c r="S682" i="1"/>
  <c r="S477" i="1"/>
  <c r="R767" i="1"/>
  <c r="R670" i="1"/>
  <c r="S483" i="1"/>
  <c r="S225" i="1"/>
  <c r="Q122" i="1"/>
  <c r="R611" i="1"/>
  <c r="Q486" i="1"/>
  <c r="Q487" i="1"/>
  <c r="S311" i="1"/>
  <c r="S310" i="1"/>
  <c r="S411" i="1"/>
  <c r="Q164" i="1"/>
  <c r="S255" i="1"/>
  <c r="R555" i="1"/>
  <c r="Q702" i="1"/>
  <c r="R515" i="1"/>
  <c r="Q297" i="1"/>
  <c r="S266" i="1"/>
  <c r="S267" i="1"/>
  <c r="Q384" i="1"/>
  <c r="R183" i="1"/>
  <c r="S550" i="1"/>
  <c r="R676" i="1"/>
  <c r="Q294" i="1"/>
  <c r="S348" i="1"/>
  <c r="Q349" i="1"/>
  <c r="Q290" i="1"/>
  <c r="Q444" i="1"/>
  <c r="Q658" i="1"/>
  <c r="R96" i="1"/>
  <c r="S171" i="1"/>
  <c r="Q190" i="1"/>
  <c r="Q101" i="1"/>
  <c r="S326" i="1"/>
  <c r="S82" i="1"/>
  <c r="R575" i="1"/>
  <c r="R574" i="1"/>
  <c r="Q172" i="1"/>
  <c r="R468" i="1"/>
  <c r="R416" i="1"/>
  <c r="S60" i="1"/>
  <c r="R107" i="1"/>
  <c r="R666" i="1"/>
  <c r="S669" i="1"/>
  <c r="Q714" i="1"/>
  <c r="R202" i="1"/>
  <c r="S166" i="1"/>
  <c r="S824" i="1"/>
  <c r="R476" i="1"/>
  <c r="Q656" i="1"/>
  <c r="S814" i="1"/>
  <c r="S154" i="1"/>
  <c r="Q236" i="1"/>
  <c r="S772" i="1"/>
  <c r="S755" i="1"/>
  <c r="R282" i="1"/>
  <c r="Q235" i="1"/>
  <c r="R618" i="1"/>
  <c r="R619" i="1"/>
  <c r="R173" i="1"/>
  <c r="Q219" i="1"/>
  <c r="S547" i="1"/>
  <c r="R780" i="1"/>
  <c r="S436" i="1"/>
  <c r="Q203" i="1"/>
  <c r="S781" i="1"/>
  <c r="Q381" i="1"/>
  <c r="R411" i="1"/>
  <c r="S204" i="1"/>
  <c r="R548" i="1"/>
  <c r="S164" i="1"/>
  <c r="S460" i="1"/>
  <c r="Q200" i="1"/>
  <c r="S702" i="1"/>
  <c r="R604" i="1"/>
  <c r="S175" i="1"/>
  <c r="S791" i="1"/>
  <c r="R123" i="1"/>
  <c r="R384" i="1"/>
  <c r="S183" i="1"/>
  <c r="Q676" i="1"/>
  <c r="R294" i="1"/>
  <c r="S150" i="1"/>
  <c r="Q434" i="1"/>
  <c r="R185" i="1"/>
  <c r="R639" i="1"/>
  <c r="Q417" i="1"/>
  <c r="R349" i="1"/>
  <c r="S148" i="1"/>
  <c r="S232" i="1"/>
  <c r="S624" i="1"/>
  <c r="Q771" i="1"/>
  <c r="S290" i="1"/>
  <c r="S750" i="1"/>
  <c r="S751" i="1"/>
  <c r="Q429" i="1"/>
  <c r="R658" i="1"/>
  <c r="Q96" i="1"/>
  <c r="S198" i="1"/>
  <c r="R190" i="1"/>
  <c r="R204" i="1"/>
  <c r="S200" i="1"/>
  <c r="R286" i="1"/>
  <c r="R832" i="1"/>
  <c r="Q461" i="1"/>
  <c r="S123" i="1"/>
  <c r="R661" i="1"/>
  <c r="Q157" i="1"/>
  <c r="Q212" i="1"/>
  <c r="S434" i="1"/>
  <c r="R551" i="1"/>
  <c r="Q260" i="1"/>
  <c r="R640" i="1"/>
  <c r="S429" i="1"/>
  <c r="R497" i="1"/>
  <c r="S499" i="1"/>
  <c r="Q470" i="1"/>
  <c r="R265" i="1"/>
  <c r="Q299" i="1"/>
  <c r="Q469" i="1"/>
  <c r="R700" i="1"/>
  <c r="R816" i="1"/>
  <c r="R88" i="1"/>
  <c r="S765" i="1"/>
  <c r="S662" i="1"/>
  <c r="S663" i="1"/>
  <c r="R426" i="1"/>
  <c r="Q643" i="1"/>
  <c r="R390" i="1"/>
  <c r="S196" i="1"/>
  <c r="S554" i="1"/>
  <c r="S684" i="1"/>
  <c r="S715" i="1"/>
  <c r="Q388" i="1"/>
  <c r="R195" i="1"/>
  <c r="S691" i="1"/>
  <c r="R116" i="1"/>
  <c r="R546" i="1"/>
  <c r="S668" i="1"/>
  <c r="Q94" i="1"/>
  <c r="S389" i="1"/>
  <c r="R377" i="1"/>
  <c r="S553" i="1"/>
  <c r="R118" i="1"/>
  <c r="S86" i="1"/>
  <c r="Q552" i="1"/>
  <c r="S400" i="1"/>
  <c r="Q609" i="1"/>
  <c r="S518" i="1"/>
  <c r="S286" i="1"/>
  <c r="Q749" i="1"/>
  <c r="Q832" i="1"/>
  <c r="S51" i="1"/>
  <c r="S461" i="1"/>
  <c r="R779" i="1"/>
  <c r="Q737" i="1"/>
  <c r="Q373" i="1"/>
  <c r="S661" i="1"/>
  <c r="R157" i="1"/>
  <c r="R342" i="1"/>
  <c r="S212" i="1"/>
  <c r="Q184" i="1"/>
  <c r="Q551" i="1"/>
  <c r="R704" i="1"/>
  <c r="R496" i="1"/>
  <c r="R72" i="1"/>
  <c r="Q78" i="1"/>
  <c r="S211" i="1"/>
  <c r="R366" i="1"/>
  <c r="R260" i="1"/>
  <c r="Q87" i="1"/>
  <c r="S210" i="1"/>
  <c r="S640" i="1"/>
  <c r="S112" i="1"/>
  <c r="S186" i="1"/>
  <c r="S681" i="1"/>
  <c r="R206" i="1"/>
  <c r="Q497" i="1"/>
  <c r="S421" i="1"/>
  <c r="R90" i="1"/>
  <c r="R91" i="1"/>
  <c r="S712" i="1"/>
  <c r="R552" i="1"/>
  <c r="Q518" i="1"/>
  <c r="R51" i="1"/>
  <c r="S779" i="1"/>
  <c r="R373" i="1"/>
  <c r="Q342" i="1"/>
  <c r="S782" i="1"/>
  <c r="Q72" i="1"/>
  <c r="Q366" i="1"/>
  <c r="S87" i="1"/>
  <c r="R750" i="1"/>
  <c r="R751" i="1"/>
  <c r="Q421" i="1"/>
  <c r="Q499" i="1"/>
  <c r="R740" i="1"/>
  <c r="R542" i="1"/>
  <c r="S470" i="1"/>
  <c r="R813" i="1"/>
  <c r="S320" i="1"/>
  <c r="S176" i="1"/>
  <c r="S469" i="1"/>
  <c r="S367" i="1"/>
  <c r="Q662" i="1"/>
  <c r="Q663" i="1"/>
  <c r="Q378" i="1"/>
  <c r="Q193" i="1"/>
  <c r="R456" i="1"/>
  <c r="Q114" i="1"/>
  <c r="Q390" i="1"/>
  <c r="Q670" i="1"/>
  <c r="R121" i="1"/>
  <c r="R715" i="1"/>
  <c r="Q92" i="1"/>
  <c r="R388" i="1"/>
  <c r="S195" i="1"/>
  <c r="Q673" i="1"/>
  <c r="Q396" i="1"/>
  <c r="S677" i="1"/>
  <c r="S94" i="1"/>
  <c r="Q377" i="1"/>
  <c r="Q553" i="1"/>
  <c r="Q672" i="1"/>
  <c r="S118" i="1"/>
  <c r="S397" i="1"/>
  <c r="R86" i="1"/>
  <c r="S552" i="1"/>
  <c r="S180" i="1"/>
  <c r="S749" i="1"/>
  <c r="S832" i="1"/>
  <c r="Q409" i="1"/>
  <c r="S737" i="1"/>
  <c r="S373" i="1"/>
  <c r="Q494" i="1"/>
  <c r="S157" i="1"/>
  <c r="R212" i="1"/>
  <c r="Q100" i="1"/>
  <c r="S184" i="1"/>
  <c r="Q563" i="1"/>
  <c r="S704" i="1"/>
  <c r="R78" i="1"/>
  <c r="Q211" i="1"/>
  <c r="S366" i="1"/>
  <c r="S809" i="1"/>
  <c r="S260" i="1"/>
  <c r="Q380" i="1"/>
  <c r="R210" i="1"/>
  <c r="R784" i="1"/>
  <c r="Q161" i="1"/>
  <c r="Q681" i="1"/>
  <c r="Q206" i="1"/>
  <c r="S497" i="1"/>
  <c r="Q654" i="1"/>
  <c r="Q90" i="1"/>
  <c r="Q91" i="1"/>
  <c r="Q712" i="1"/>
  <c r="Q725" i="1"/>
  <c r="S467" i="1"/>
  <c r="Q222" i="1"/>
  <c r="Q223" i="1"/>
  <c r="Q130" i="1"/>
  <c r="R395" i="1"/>
  <c r="Q243" i="1"/>
  <c r="R570" i="1"/>
  <c r="Q719" i="1"/>
  <c r="S738" i="1"/>
  <c r="S356" i="1"/>
  <c r="R699" i="1"/>
  <c r="R635" i="1"/>
  <c r="S89" i="1"/>
  <c r="R55" i="1"/>
  <c r="Q488" i="1"/>
  <c r="Q321" i="1"/>
  <c r="S603" i="1"/>
  <c r="Q177" i="1"/>
  <c r="S322" i="1"/>
  <c r="Q701" i="1"/>
  <c r="Q582" i="1"/>
  <c r="S69" i="1"/>
  <c r="R401" i="1"/>
  <c r="Q237" i="1"/>
  <c r="Q535" i="1"/>
  <c r="Q507" i="1"/>
  <c r="Q329" i="1"/>
  <c r="R730" i="1"/>
  <c r="R589" i="1"/>
  <c r="R66" i="1"/>
  <c r="R509" i="1"/>
  <c r="R725" i="1"/>
  <c r="Q817" i="1"/>
  <c r="Q67" i="1"/>
  <c r="R748" i="1"/>
  <c r="S796" i="1"/>
  <c r="R513" i="1"/>
  <c r="Q285" i="1"/>
  <c r="S722" i="1"/>
  <c r="Q763" i="1"/>
  <c r="R110" i="1"/>
  <c r="R355" i="1"/>
  <c r="R354" i="1"/>
  <c r="S221" i="1"/>
  <c r="Q804" i="1"/>
  <c r="R63" i="1"/>
  <c r="R423" i="1"/>
  <c r="R633" i="1"/>
  <c r="Q778" i="1"/>
  <c r="R137" i="1"/>
  <c r="Q279" i="1"/>
  <c r="Q706" i="1"/>
  <c r="Q707" i="1"/>
  <c r="R262" i="1"/>
  <c r="S414" i="1"/>
  <c r="S314" i="1"/>
  <c r="R732" i="1"/>
  <c r="Q141" i="1"/>
  <c r="R325" i="1"/>
  <c r="S128" i="1"/>
  <c r="R736" i="1"/>
  <c r="Q168" i="1"/>
  <c r="Q187" i="1"/>
  <c r="Q77" i="1"/>
  <c r="R334" i="1"/>
  <c r="Q757" i="1"/>
  <c r="Q405" i="1"/>
  <c r="S653" i="1"/>
  <c r="S239" i="1"/>
  <c r="Q788" i="1"/>
  <c r="R324" i="1"/>
  <c r="S451" i="1"/>
  <c r="Q811" i="1"/>
  <c r="R507" i="1"/>
  <c r="S589" i="1"/>
  <c r="S486" i="1"/>
  <c r="S487" i="1"/>
  <c r="R285" i="1"/>
  <c r="S355" i="1"/>
  <c r="S354" i="1"/>
  <c r="Q633" i="1"/>
  <c r="Q530" i="1"/>
  <c r="Q531" i="1"/>
  <c r="Q137" i="1"/>
  <c r="S706" i="1"/>
  <c r="S707" i="1"/>
  <c r="R648" i="1"/>
  <c r="S141" i="1"/>
  <c r="Q435" i="1"/>
  <c r="Q128" i="1"/>
  <c r="Q144" i="1"/>
  <c r="S213" i="1"/>
  <c r="Q334" i="1"/>
  <c r="S491" i="1"/>
  <c r="Q451" i="1"/>
  <c r="R418" i="1"/>
  <c r="R222" i="1"/>
  <c r="R223" i="1"/>
  <c r="R655" i="1"/>
  <c r="S395" i="1"/>
  <c r="S473" i="1"/>
  <c r="R243" i="1"/>
  <c r="S570" i="1"/>
  <c r="S821" i="1"/>
  <c r="R719" i="1"/>
  <c r="R356" i="1"/>
  <c r="S635" i="1"/>
  <c r="Q81" i="1"/>
  <c r="R420" i="1"/>
  <c r="Q603" i="1"/>
  <c r="R177" i="1"/>
  <c r="R234" i="1"/>
  <c r="Q628" i="1"/>
  <c r="S493" i="1"/>
  <c r="R701" i="1"/>
  <c r="S582" i="1"/>
  <c r="Q69" i="1"/>
  <c r="S401" i="1"/>
  <c r="Q220" i="1"/>
  <c r="R535" i="1"/>
  <c r="Q632" i="1"/>
  <c r="S507" i="1"/>
  <c r="Q730" i="1"/>
  <c r="Q589" i="1"/>
  <c r="R817" i="1"/>
  <c r="S724" i="1"/>
  <c r="R796" i="1"/>
  <c r="Q513" i="1"/>
  <c r="R739" i="1"/>
  <c r="S763" i="1"/>
  <c r="Q110" i="1"/>
  <c r="Q354" i="1"/>
  <c r="Q355" i="1"/>
  <c r="R746" i="1"/>
  <c r="S63" i="1"/>
  <c r="R549" i="1"/>
  <c r="S778" i="1"/>
  <c r="R99" i="1"/>
  <c r="Q528" i="1"/>
  <c r="S564" i="1"/>
  <c r="S137" i="1"/>
  <c r="S442" i="1"/>
  <c r="S443" i="1"/>
  <c r="R279" i="1"/>
  <c r="R706" i="1"/>
  <c r="R707" i="1"/>
  <c r="Q794" i="1"/>
  <c r="Q795" i="1"/>
  <c r="Q660" i="1"/>
  <c r="R615" i="1"/>
  <c r="R76" i="1"/>
  <c r="S325" i="1"/>
  <c r="R128" i="1"/>
  <c r="R625" i="1"/>
  <c r="S168" i="1"/>
  <c r="S187" i="1"/>
  <c r="S77" i="1"/>
  <c r="Q733" i="1"/>
  <c r="Q340" i="1"/>
  <c r="R591" i="1"/>
  <c r="S143" i="1"/>
  <c r="R405" i="1"/>
  <c r="R653" i="1"/>
  <c r="Q197" i="1"/>
  <c r="R788" i="1"/>
  <c r="R811" i="1"/>
  <c r="S418" i="1"/>
  <c r="S223" i="1"/>
  <c r="S222" i="1"/>
  <c r="Q209" i="1"/>
  <c r="R792" i="1"/>
  <c r="S130" i="1"/>
  <c r="Q395" i="1"/>
  <c r="Q698" i="1"/>
  <c r="S695" i="1"/>
  <c r="Q480" i="1"/>
  <c r="Q473" i="1"/>
  <c r="S243" i="1"/>
  <c r="R821" i="1"/>
  <c r="S719" i="1"/>
  <c r="R131" i="1"/>
  <c r="Q356" i="1"/>
  <c r="Q328" i="1"/>
  <c r="Q566" i="1"/>
  <c r="Q510" i="1"/>
  <c r="S301" i="1"/>
  <c r="R567" i="1"/>
  <c r="S81" i="1"/>
  <c r="S488" i="1"/>
  <c r="Q316" i="1"/>
  <c r="Q420" i="1"/>
  <c r="R603" i="1"/>
  <c r="S68" i="1"/>
  <c r="S573" i="1"/>
  <c r="S628" i="1"/>
  <c r="S701" i="1"/>
  <c r="Q49" i="1"/>
  <c r="Q364" i="1"/>
  <c r="R220" i="1"/>
  <c r="S535" i="1"/>
  <c r="R632" i="1"/>
  <c r="R506" i="1"/>
  <c r="S304" i="1"/>
  <c r="S730" i="1"/>
  <c r="S509" i="1"/>
  <c r="Q306" i="1"/>
  <c r="Q721" i="1"/>
  <c r="S817" i="1"/>
  <c r="Q56" i="1"/>
  <c r="Q724" i="1"/>
  <c r="Q796" i="1"/>
  <c r="S513" i="1"/>
  <c r="Q739" i="1"/>
  <c r="R763" i="1"/>
  <c r="S110" i="1"/>
  <c r="S333" i="1"/>
  <c r="S804" i="1"/>
  <c r="R538" i="1"/>
  <c r="S423" i="1"/>
  <c r="Q181" i="1"/>
  <c r="S549" i="1"/>
  <c r="R778" i="1"/>
  <c r="S99" i="1"/>
  <c r="Q372" i="1"/>
  <c r="R528" i="1"/>
  <c r="R564" i="1"/>
  <c r="S75" i="1"/>
  <c r="R442" i="1"/>
  <c r="R443" i="1"/>
  <c r="S279" i="1"/>
  <c r="R794" i="1"/>
  <c r="R795" i="1"/>
  <c r="R660" i="1"/>
  <c r="Q414" i="1"/>
  <c r="R527" i="1"/>
  <c r="S732" i="1"/>
  <c r="Q802" i="1"/>
  <c r="Q76" i="1"/>
  <c r="Q325" i="1"/>
  <c r="Q127" i="1"/>
  <c r="Q446" i="1"/>
  <c r="Q625" i="1"/>
  <c r="R168" i="1"/>
  <c r="R187" i="1"/>
  <c r="Q561" i="1"/>
  <c r="R521" i="1"/>
  <c r="R340" i="1"/>
  <c r="S757" i="1"/>
  <c r="Q143" i="1"/>
  <c r="S405" i="1"/>
  <c r="Q557" i="1"/>
  <c r="R197" i="1"/>
  <c r="S788" i="1"/>
  <c r="S324" i="1"/>
  <c r="S807" i="1"/>
  <c r="S811" i="1"/>
  <c r="Q821" i="1"/>
  <c r="Q147" i="1"/>
  <c r="R569" i="1"/>
  <c r="Q103" i="1"/>
  <c r="R328" i="1"/>
  <c r="R224" i="1"/>
  <c r="S597" i="1"/>
  <c r="S316" i="1"/>
  <c r="S742" i="1"/>
  <c r="R68" i="1"/>
  <c r="Q573" i="1"/>
  <c r="Q606" i="1"/>
  <c r="Q823" i="1"/>
  <c r="R49" i="1"/>
  <c r="S364" i="1"/>
  <c r="Q587" i="1"/>
  <c r="S506" i="1"/>
  <c r="Q743" i="1"/>
  <c r="Q825" i="1"/>
  <c r="R306" i="1"/>
  <c r="R829" i="1"/>
  <c r="S56" i="1"/>
  <c r="R459" i="1"/>
  <c r="Q627" i="1"/>
  <c r="R828" i="1"/>
  <c r="Q485" i="1"/>
  <c r="R651" i="1"/>
  <c r="Q333" i="1"/>
  <c r="R745" i="1"/>
  <c r="Q383" i="1"/>
  <c r="R181" i="1"/>
  <c r="R562" i="1"/>
  <c r="S675" i="1"/>
  <c r="Q457" i="1"/>
  <c r="S372" i="1"/>
  <c r="R360" i="1"/>
  <c r="R610" i="1"/>
  <c r="R75" i="1"/>
  <c r="Q432" i="1"/>
  <c r="R233" i="1"/>
  <c r="Q345" i="1"/>
  <c r="Q834" i="1"/>
  <c r="S527" i="1"/>
  <c r="S275" i="1"/>
  <c r="R711" i="1"/>
  <c r="R802" i="1"/>
  <c r="Q80" i="1"/>
  <c r="S127" i="1"/>
  <c r="R446" i="1"/>
  <c r="S559" i="1"/>
  <c r="Q728" i="1"/>
  <c r="R371" i="1"/>
  <c r="R523" i="1"/>
  <c r="R408" i="1"/>
  <c r="S521" i="1"/>
  <c r="Q292" i="1"/>
  <c r="R734" i="1"/>
  <c r="R54" i="1"/>
  <c r="Q363" i="1"/>
  <c r="R557" i="1"/>
  <c r="Q289" i="1"/>
  <c r="R147" i="1"/>
  <c r="Q269" i="1"/>
  <c r="R807" i="1"/>
  <c r="R353" i="1"/>
  <c r="R687" i="1"/>
  <c r="R473" i="1"/>
  <c r="S587" i="1"/>
  <c r="Q807" i="1"/>
  <c r="R533" i="1"/>
  <c r="R394" i="1"/>
  <c r="R606" i="1"/>
  <c r="S823" i="1"/>
  <c r="Q386" i="1"/>
  <c r="R587" i="1"/>
  <c r="Q455" i="1"/>
  <c r="R743" i="1"/>
  <c r="R825" i="1"/>
  <c r="Q125" i="1"/>
  <c r="S829" i="1"/>
  <c r="R199" i="1"/>
  <c r="S459" i="1"/>
  <c r="S828" i="1"/>
  <c r="Q338" i="1"/>
  <c r="S485" i="1"/>
  <c r="Q230" i="1"/>
  <c r="Q651" i="1"/>
  <c r="Q272" i="1"/>
  <c r="R787" i="1"/>
  <c r="S383" i="1"/>
  <c r="R303" i="1"/>
  <c r="Q562" i="1"/>
  <c r="Q675" i="1"/>
  <c r="S457" i="1"/>
  <c r="Q313" i="1"/>
  <c r="Q360" i="1"/>
  <c r="S610" i="1"/>
  <c r="R62" i="1"/>
  <c r="R432" i="1"/>
  <c r="Q233" i="1"/>
  <c r="S637" i="1"/>
  <c r="S770" i="1"/>
  <c r="R345" i="1"/>
  <c r="S834" i="1"/>
  <c r="Q275" i="1"/>
  <c r="S711" i="1"/>
  <c r="R80" i="1"/>
  <c r="S268" i="1"/>
  <c r="R439" i="1"/>
  <c r="Q559" i="1"/>
  <c r="R728" i="1"/>
  <c r="S371" i="1"/>
  <c r="Q523" i="1"/>
  <c r="S408" i="1"/>
  <c r="Q520" i="1"/>
  <c r="R292" i="1"/>
  <c r="S734" i="1"/>
  <c r="Q827" i="1"/>
  <c r="Q54" i="1"/>
  <c r="R363" i="1"/>
  <c r="S617" i="1"/>
  <c r="Q580" i="1"/>
  <c r="R289" i="1"/>
  <c r="S147" i="1"/>
  <c r="R269" i="1"/>
  <c r="Q753" i="1"/>
  <c r="S353" i="1"/>
  <c r="S687" i="1"/>
  <c r="R132" i="1"/>
  <c r="S160" i="1"/>
  <c r="S698" i="1"/>
  <c r="S328" i="1"/>
  <c r="S696" i="1"/>
  <c r="S567" i="1"/>
  <c r="R81" i="1"/>
  <c r="R316" i="1"/>
  <c r="R573" i="1"/>
  <c r="R823" i="1"/>
  <c r="R721" i="1"/>
  <c r="R56" i="1"/>
  <c r="Q459" i="1"/>
  <c r="Q828" i="1"/>
  <c r="S739" i="1"/>
  <c r="S538" i="1"/>
  <c r="R675" i="1"/>
  <c r="R372" i="1"/>
  <c r="Q442" i="1"/>
  <c r="Q443" i="1"/>
  <c r="S795" i="1"/>
  <c r="S794" i="1"/>
  <c r="R834" i="1"/>
  <c r="S802" i="1"/>
  <c r="S625" i="1"/>
  <c r="R831" i="1"/>
  <c r="S340" i="1"/>
  <c r="Q734" i="1"/>
  <c r="Q687" i="1"/>
  <c r="S132" i="1"/>
  <c r="S793" i="1"/>
  <c r="Q441" i="1"/>
  <c r="S350" i="1"/>
  <c r="S71" i="1"/>
  <c r="R595" i="1"/>
  <c r="S227" i="1"/>
  <c r="Q415" i="1"/>
  <c r="R103" i="1"/>
  <c r="Q370" i="1"/>
  <c r="S224" i="1"/>
  <c r="Q597" i="1"/>
  <c r="R532" i="1"/>
  <c r="S305" i="1"/>
  <c r="S441" i="1"/>
  <c r="R207" i="1"/>
  <c r="Q533" i="1"/>
  <c r="S664" i="1"/>
  <c r="R403" i="1"/>
  <c r="Q71" i="1"/>
  <c r="Q595" i="1"/>
  <c r="Q149" i="1"/>
  <c r="S424" i="1"/>
  <c r="Q192" i="1"/>
  <c r="R415" i="1"/>
  <c r="R793" i="1"/>
  <c r="Q608" i="1"/>
  <c r="S103" i="1"/>
  <c r="Q346" i="1"/>
  <c r="S576" i="1"/>
  <c r="R153" i="1"/>
  <c r="Q218" i="1"/>
  <c r="Q544" i="1"/>
  <c r="Q276" i="1"/>
  <c r="R742" i="1"/>
  <c r="S819" i="1"/>
  <c r="R48" i="1"/>
  <c r="Q532" i="1"/>
  <c r="S606" i="1"/>
  <c r="Q454" i="1"/>
  <c r="S277" i="1"/>
  <c r="R774" i="1"/>
  <c r="Q215" i="1"/>
  <c r="S386" i="1"/>
  <c r="R586" i="1"/>
  <c r="S455" i="1"/>
  <c r="R305" i="1"/>
  <c r="Q790" i="1"/>
  <c r="R125" i="1"/>
  <c r="S482" i="1"/>
  <c r="R645" i="1"/>
  <c r="Q762" i="1"/>
  <c r="Q199" i="1"/>
  <c r="R254" i="1"/>
  <c r="R627" i="1"/>
  <c r="R786" i="1"/>
  <c r="S338" i="1"/>
  <c r="Q450" i="1"/>
  <c r="R230" i="1"/>
  <c r="S651" i="1"/>
  <c r="Q693" i="1"/>
  <c r="Q512" i="1"/>
  <c r="R272" i="1"/>
  <c r="S745" i="1"/>
  <c r="R777" i="1"/>
  <c r="Q448" i="1"/>
  <c r="Q359" i="1"/>
  <c r="S303" i="1"/>
  <c r="S562" i="1"/>
  <c r="Q156" i="1"/>
  <c r="Q490" i="1"/>
  <c r="R313" i="1"/>
  <c r="S360" i="1"/>
  <c r="S801" i="1"/>
  <c r="Q62" i="1"/>
  <c r="S432" i="1"/>
  <c r="S179" i="1"/>
  <c r="S178" i="1"/>
  <c r="Q637" i="1"/>
  <c r="R770" i="1"/>
  <c r="S345" i="1"/>
  <c r="S465" i="1"/>
  <c r="R275" i="1"/>
  <c r="S647" i="1"/>
  <c r="Q798" i="1"/>
  <c r="S80" i="1"/>
  <c r="Q800" i="1"/>
  <c r="Q439" i="1"/>
  <c r="R559" i="1"/>
  <c r="S728" i="1"/>
  <c r="S523" i="1"/>
  <c r="Q759" i="1"/>
  <c r="R520" i="1"/>
  <c r="S292" i="1"/>
  <c r="Q710" i="1"/>
  <c r="R827" i="1"/>
  <c r="S54" i="1"/>
  <c r="R344" i="1"/>
  <c r="Q617" i="1"/>
  <c r="R580" i="1"/>
  <c r="S289" i="1"/>
  <c r="Q53" i="1"/>
  <c r="S264" i="1"/>
  <c r="S753" i="1"/>
  <c r="Q353" i="1"/>
  <c r="Q59" i="1"/>
  <c r="Q418" i="1"/>
  <c r="S269" i="1"/>
  <c r="R160" i="1"/>
  <c r="Q207" i="1"/>
  <c r="R192" i="1"/>
  <c r="R608" i="1"/>
  <c r="R346" i="1"/>
  <c r="S479" i="1"/>
  <c r="R218" i="1"/>
  <c r="R544" i="1"/>
  <c r="Q308" i="1"/>
  <c r="R276" i="1"/>
  <c r="Q837" i="1"/>
  <c r="Q819" i="1"/>
  <c r="S48" i="1"/>
  <c r="S532" i="1"/>
  <c r="Q774" i="1"/>
  <c r="S215" i="1"/>
  <c r="R386" i="1"/>
  <c r="Q361" i="1"/>
  <c r="S586" i="1"/>
  <c r="R455" i="1"/>
  <c r="Q250" i="1"/>
  <c r="R790" i="1"/>
  <c r="S125" i="1"/>
  <c r="Q482" i="1"/>
  <c r="S199" i="1"/>
  <c r="S254" i="1"/>
  <c r="R623" i="1"/>
  <c r="Q786" i="1"/>
  <c r="R338" i="1"/>
  <c r="S230" i="1"/>
  <c r="R631" i="1"/>
  <c r="R693" i="1"/>
  <c r="R512" i="1"/>
  <c r="S272" i="1"/>
  <c r="Q572" i="1"/>
  <c r="S777" i="1"/>
  <c r="S117" i="1"/>
  <c r="R359" i="1"/>
  <c r="Q303" i="1"/>
  <c r="Q584" i="1"/>
  <c r="R156" i="1"/>
  <c r="R490" i="1"/>
  <c r="S313" i="1"/>
  <c r="Q747" i="1"/>
  <c r="S62" i="1"/>
  <c r="R431" i="1"/>
  <c r="Q178" i="1"/>
  <c r="Q179" i="1"/>
  <c r="R637" i="1"/>
  <c r="Q783" i="1"/>
  <c r="R113" i="1"/>
  <c r="Q393" i="1"/>
  <c r="S463" i="1"/>
  <c r="Q258" i="1"/>
  <c r="R647" i="1"/>
  <c r="S798" i="1"/>
  <c r="S800" i="1"/>
  <c r="S439" i="1"/>
  <c r="Q592" i="1"/>
  <c r="Q466" i="1"/>
  <c r="R398" i="1"/>
  <c r="R399" i="1"/>
  <c r="R759" i="1"/>
  <c r="S520" i="1"/>
  <c r="R278" i="1"/>
  <c r="R710" i="1"/>
  <c r="S827" i="1"/>
  <c r="R464" i="1"/>
  <c r="Q344" i="1"/>
  <c r="R617" i="1"/>
  <c r="S580" i="1"/>
  <c r="Q727" i="1"/>
  <c r="R53" i="1"/>
  <c r="Q264" i="1"/>
  <c r="R753" i="1"/>
  <c r="Q240" i="1"/>
  <c r="R59" i="1"/>
  <c r="Q350" i="1"/>
  <c r="Q227" i="1"/>
  <c r="Q224" i="1"/>
  <c r="R597" i="1"/>
  <c r="R628" i="1"/>
  <c r="S632" i="1"/>
  <c r="R485" i="1"/>
  <c r="Q610" i="1"/>
  <c r="S233" i="1"/>
  <c r="S446" i="1"/>
  <c r="Q521" i="1"/>
  <c r="R143" i="1"/>
  <c r="S595" i="1"/>
  <c r="R424" i="1"/>
  <c r="S657" i="1"/>
  <c r="Q424" i="1"/>
  <c r="R215" i="1"/>
  <c r="R106" i="1"/>
  <c r="S533" i="1"/>
  <c r="R665" i="1"/>
  <c r="Q525" i="1"/>
  <c r="S315" i="1"/>
  <c r="R697" i="1"/>
  <c r="R149" i="1"/>
  <c r="R413" i="1"/>
  <c r="S415" i="1"/>
  <c r="Q683" i="1"/>
  <c r="Q153" i="1"/>
  <c r="Q106" i="1"/>
  <c r="Q369" i="1"/>
  <c r="S207" i="1"/>
  <c r="Q665" i="1"/>
  <c r="Q516" i="1"/>
  <c r="S525" i="1"/>
  <c r="R315" i="1"/>
  <c r="R713" i="1"/>
  <c r="Q458" i="1"/>
  <c r="S192" i="1"/>
  <c r="S540" i="1"/>
  <c r="R683" i="1"/>
  <c r="S608" i="1"/>
  <c r="S346" i="1"/>
  <c r="Q283" i="1"/>
  <c r="Q602" i="1"/>
  <c r="S153" i="1"/>
  <c r="R479" i="1"/>
  <c r="S218" i="1"/>
  <c r="Q581" i="1"/>
  <c r="S544" i="1"/>
  <c r="S308" i="1"/>
  <c r="R453" i="1"/>
  <c r="Q248" i="1"/>
  <c r="S837" i="1"/>
  <c r="R819" i="1"/>
  <c r="S501" i="1"/>
  <c r="Q539" i="1"/>
  <c r="Q478" i="1"/>
  <c r="S774" i="1"/>
  <c r="R351" i="1"/>
  <c r="S361" i="1"/>
  <c r="Q586" i="1"/>
  <c r="Q605" i="1"/>
  <c r="Q484" i="1"/>
  <c r="S621" i="1"/>
  <c r="S790" i="1"/>
  <c r="R482" i="1"/>
  <c r="R247" i="1"/>
  <c r="R622" i="1"/>
  <c r="S762" i="1"/>
  <c r="R251" i="1"/>
  <c r="Q623" i="1"/>
  <c r="S786" i="1"/>
  <c r="S690" i="1"/>
  <c r="R450" i="1"/>
  <c r="R194" i="1"/>
  <c r="Q631" i="1"/>
  <c r="S693" i="1"/>
  <c r="S512" i="1"/>
  <c r="Q255" i="1"/>
  <c r="S572" i="1"/>
  <c r="Q777" i="1"/>
  <c r="Q117" i="1"/>
  <c r="S359" i="1"/>
  <c r="S297" i="1"/>
  <c r="R584" i="1"/>
  <c r="S156" i="1"/>
  <c r="S490" i="1"/>
  <c r="R266" i="1"/>
  <c r="R267" i="1"/>
  <c r="S747" i="1"/>
  <c r="R801" i="1"/>
  <c r="Q431" i="1"/>
  <c r="R178" i="1"/>
  <c r="R179" i="1"/>
  <c r="Q550" i="1"/>
  <c r="R783" i="1"/>
  <c r="Q113" i="1"/>
  <c r="R393" i="1"/>
  <c r="Q404" i="1"/>
  <c r="R258" i="1"/>
  <c r="Q647" i="1"/>
  <c r="S257" i="1"/>
  <c r="Q785" i="1"/>
  <c r="Q348" i="1"/>
  <c r="S592" i="1"/>
  <c r="R466" i="1"/>
  <c r="Q398" i="1"/>
  <c r="Q399" i="1"/>
  <c r="S759" i="1"/>
  <c r="R462" i="1"/>
  <c r="Q278" i="1"/>
  <c r="S710" i="1"/>
  <c r="R799" i="1"/>
  <c r="Q464" i="1"/>
  <c r="S344" i="1"/>
  <c r="R805" i="1"/>
  <c r="S444" i="1"/>
  <c r="S727" i="1"/>
  <c r="S53" i="1"/>
  <c r="R264" i="1"/>
  <c r="R171" i="1"/>
  <c r="R240" i="1"/>
  <c r="S59" i="1"/>
</calcChain>
</file>

<file path=xl/sharedStrings.xml><?xml version="1.0" encoding="utf-8"?>
<sst xmlns="http://schemas.openxmlformats.org/spreadsheetml/2006/main" count="22" uniqueCount="22">
  <si>
    <t>Dp (m)</t>
    <phoneticPr fontId="1" type="noConversion"/>
  </si>
  <si>
    <t>Tp (m)</t>
    <phoneticPr fontId="1" type="noConversion"/>
  </si>
  <si>
    <t>Lp (m)</t>
    <phoneticPr fontId="1" type="noConversion"/>
  </si>
  <si>
    <t>v</t>
    <phoneticPr fontId="1" type="noConversion"/>
  </si>
  <si>
    <t>G/Gmax</t>
    <phoneticPr fontId="1" type="noConversion"/>
  </si>
  <si>
    <t>Gdeg</t>
    <phoneticPr fontId="1" type="noConversion"/>
  </si>
  <si>
    <t>kh</t>
    <phoneticPr fontId="1" type="noConversion"/>
  </si>
  <si>
    <t>KL</t>
    <phoneticPr fontId="1" type="noConversion"/>
  </si>
  <si>
    <t xml:space="preserve">KR </t>
    <phoneticPr fontId="1" type="noConversion"/>
  </si>
  <si>
    <t>Gmax</t>
    <phoneticPr fontId="1" type="noConversion"/>
  </si>
  <si>
    <t>PI (%)</t>
    <phoneticPr fontId="1" type="noConversion"/>
  </si>
  <si>
    <t>Ep</t>
    <phoneticPr fontId="1" type="noConversion"/>
  </si>
  <si>
    <t>β</t>
    <phoneticPr fontId="1" type="noConversion"/>
  </si>
  <si>
    <t>βLp</t>
    <phoneticPr fontId="1" type="noConversion"/>
  </si>
  <si>
    <t>KL drop</t>
    <phoneticPr fontId="1" type="noConversion"/>
  </si>
  <si>
    <t>KR drop</t>
    <phoneticPr fontId="1" type="noConversion"/>
  </si>
  <si>
    <t>KLR</t>
    <phoneticPr fontId="1" type="noConversion"/>
  </si>
  <si>
    <t>KLR drop</t>
    <phoneticPr fontId="1" type="noConversion"/>
  </si>
  <si>
    <t>Es</t>
    <phoneticPr fontId="1" type="noConversion"/>
  </si>
  <si>
    <t>EI</t>
    <phoneticPr fontId="1" type="noConversion"/>
  </si>
  <si>
    <r>
      <rPr>
        <sz val="11"/>
        <color theme="1"/>
        <rFont val="Cambria"/>
        <family val="1"/>
      </rPr>
      <t>ϒ</t>
    </r>
    <r>
      <rPr>
        <sz val="11"/>
        <color theme="1"/>
        <rFont val="Calibri"/>
        <family val="1"/>
      </rPr>
      <t xml:space="preserve"> (%)</t>
    </r>
    <phoneticPr fontId="1" type="noConversion"/>
  </si>
  <si>
    <t>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</si>
</sst>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"/>
    <numFmt numFmtId="177" formatCode="0.00_);[Red]\(0.00\)"/>
    <numFmt numFmtId="178" formatCode="0.0000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ptos Narrow"/>
      <family val="2"/>
    </font>
    <font>
      <sz val="11"/>
      <color theme="1"/>
      <name val="等线"/>
      <family val="2"/>
      <charset val="134"/>
    </font>
    <font>
      <sz val="11"/>
      <color theme="1"/>
      <name val="等线"/>
      <family val="1"/>
    </font>
    <font>
      <sz val="11"/>
      <color theme="1"/>
      <name val="Cambria"/>
      <family val="1"/>
    </font>
    <font>
      <sz val="11"/>
      <color theme="1"/>
      <name val="Calibri"/>
      <family val="1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176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>
      <alignment vertical="center"/>
    </xf>
    <xf numFmtId="0" fontId="0" fillId="4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9484-FC20-4C66-AD59-ED3B8A789B26}">
  <dimension ref="A1:W1057"/>
  <sheetViews>
    <sheetView tabSelected="1" zoomScale="90" zoomScaleNormal="90" workbookViewId="0">
      <selection activeCell="P26" sqref="P26"/>
    </sheetView>
  </sheetViews>
  <sheetFormatPr defaultRowHeight="14.1" x14ac:dyDescent="0.5"/>
  <cols>
    <col min="2" max="2" width="9.796875" bestFit="1" customWidth="1"/>
    <col min="8" max="8" width="9.44921875" bestFit="1" customWidth="1"/>
    <col min="14" max="16" width="12.44921875" bestFit="1" customWidth="1"/>
    <col min="17" max="17" width="11.296875" customWidth="1"/>
    <col min="18" max="18" width="11.046875" customWidth="1"/>
    <col min="19" max="19" width="10.796875" customWidth="1"/>
    <col min="21" max="21" width="11.546875" style="3" customWidth="1"/>
    <col min="22" max="22" width="11.796875" bestFit="1" customWidth="1"/>
  </cols>
  <sheetData>
    <row r="1" spans="1:23" ht="14.4" x14ac:dyDescent="0.5">
      <c r="A1" s="10" t="s">
        <v>10</v>
      </c>
      <c r="B1" s="10" t="s">
        <v>4</v>
      </c>
      <c r="C1" s="13" t="s">
        <v>0</v>
      </c>
      <c r="D1" s="13" t="s">
        <v>2</v>
      </c>
      <c r="E1" s="13" t="s">
        <v>1</v>
      </c>
      <c r="F1" s="13" t="s">
        <v>21</v>
      </c>
      <c r="G1" s="10" t="s">
        <v>3</v>
      </c>
      <c r="H1" s="10" t="s">
        <v>9</v>
      </c>
      <c r="I1" s="8" t="s">
        <v>5</v>
      </c>
      <c r="J1" s="8" t="s">
        <v>11</v>
      </c>
      <c r="K1" s="9" t="s">
        <v>12</v>
      </c>
      <c r="L1" s="9" t="s">
        <v>13</v>
      </c>
      <c r="M1" s="8" t="s">
        <v>6</v>
      </c>
      <c r="N1" s="8" t="s">
        <v>7</v>
      </c>
      <c r="O1" s="8" t="s">
        <v>8</v>
      </c>
      <c r="P1" s="8" t="s">
        <v>16</v>
      </c>
      <c r="Q1" s="12" t="s">
        <v>14</v>
      </c>
      <c r="R1" s="12" t="s">
        <v>15</v>
      </c>
      <c r="S1" s="12" t="s">
        <v>17</v>
      </c>
      <c r="T1" s="3"/>
      <c r="U1" s="8" t="s">
        <v>18</v>
      </c>
      <c r="V1" s="10" t="s">
        <v>19</v>
      </c>
      <c r="W1" s="11" t="s">
        <v>20</v>
      </c>
    </row>
    <row r="2" spans="1:23" x14ac:dyDescent="0.5">
      <c r="A2" s="3">
        <v>0</v>
      </c>
      <c r="B2" s="5">
        <v>1</v>
      </c>
      <c r="C2" s="3">
        <v>5</v>
      </c>
      <c r="D2" s="3">
        <v>20</v>
      </c>
      <c r="E2" s="3">
        <v>0.05</v>
      </c>
      <c r="F2" s="3">
        <f>(3.141592*((C2^4)-(C2-(2*E2))^4))/64</f>
        <v>2.3817145262624893</v>
      </c>
      <c r="G2" s="5">
        <v>0.3</v>
      </c>
      <c r="H2" s="4">
        <v>15000000</v>
      </c>
      <c r="I2" s="4">
        <f>B2*$H$2</f>
        <v>15000000</v>
      </c>
      <c r="J2" s="3">
        <v>210000000000</v>
      </c>
      <c r="K2" s="4">
        <f>(($M$2*C2)/(4*J2*F2))^(1/4)</f>
        <v>7.4300844883289363E-2</v>
      </c>
      <c r="L2" s="6">
        <f>K2*D2</f>
        <v>1.4860168976657873</v>
      </c>
      <c r="M2" s="4">
        <f>(0.65/C2)*(((2*U2*(1+G2)*C2^4)/(J2*F2))^(1/12))*((2*U2*(1+G2))/(1-G2^2))</f>
        <v>12194780.734740067</v>
      </c>
      <c r="N2" s="4">
        <f>IF(L2&gt;=2.5,M2*C2/K2,M2*C2*D2)</f>
        <v>1219478073.4740067</v>
      </c>
      <c r="O2" s="4">
        <f>IF(L2&gt;=2.5,M2*C2/(2*K2^3),M2*C2*(D2^3)/3)</f>
        <v>162597076463.2009</v>
      </c>
      <c r="P2" s="4">
        <f>IF(L2&gt;=2.5,-(M2*C2/(2*K2^2)),-(M2*C2*(D2^2)/2))</f>
        <v>-12194780734.740067</v>
      </c>
      <c r="Q2" s="4">
        <f>N2</f>
        <v>1219478073.4740067</v>
      </c>
      <c r="R2" s="4">
        <f>O2</f>
        <v>162597076463.2009</v>
      </c>
      <c r="S2" s="4">
        <f>P2</f>
        <v>-12194780734.740067</v>
      </c>
      <c r="T2" s="3"/>
      <c r="U2" s="4">
        <f>2*I2*(G2+1)</f>
        <v>39000000</v>
      </c>
      <c r="V2">
        <f>J2*F2</f>
        <v>500160050515.12274</v>
      </c>
      <c r="W2" s="7">
        <v>1.0000000000000002E-4</v>
      </c>
    </row>
    <row r="3" spans="1:23" x14ac:dyDescent="0.5">
      <c r="A3" s="3">
        <v>0</v>
      </c>
      <c r="B3" s="5">
        <v>1</v>
      </c>
      <c r="C3" s="3">
        <v>5</v>
      </c>
      <c r="D3" s="3">
        <v>20</v>
      </c>
      <c r="E3" s="3">
        <v>0.05</v>
      </c>
      <c r="F3" s="3">
        <f t="shared" ref="F3:F66" si="0">(3.141592*((C3^4)-(C3-(2*E3))^4))/64</f>
        <v>2.3817145262624893</v>
      </c>
      <c r="G3" s="5">
        <v>0.3</v>
      </c>
      <c r="H3" s="4">
        <v>15000000</v>
      </c>
      <c r="I3" s="4">
        <f t="shared" ref="I3:I45" si="1">B3*$H$2</f>
        <v>15000000</v>
      </c>
      <c r="J3" s="3">
        <v>210000000000</v>
      </c>
      <c r="K3" s="4">
        <f t="shared" ref="K3:K45" si="2">(($M$2*C3)/(4*J3*F3))^(1/4)</f>
        <v>7.4300844883289363E-2</v>
      </c>
      <c r="L3" s="6">
        <f t="shared" ref="L3:L66" si="3">K3*D3</f>
        <v>1.4860168976657873</v>
      </c>
      <c r="M3" s="4">
        <f t="shared" ref="M3:M66" si="4">(0.65/C3)*(((2*U3*(1+G3)*C3^4)/(J3*F3))^(1/12))*((2*U3*(1+G3))/(1-G3^2))</f>
        <v>12194780.734740067</v>
      </c>
      <c r="N3" s="4">
        <f t="shared" ref="N3:N66" si="5">IF(L3&gt;=2.5,M3*C3/K3,M3*C3*D3)</f>
        <v>1219478073.4740067</v>
      </c>
      <c r="O3" s="4">
        <f t="shared" ref="O3:O66" si="6">IF(L3&gt;=2.5,M3*C3/(2*K3^3),M3*C3*(D3^3)/3)</f>
        <v>162597076463.2009</v>
      </c>
      <c r="P3" s="4">
        <f t="shared" ref="P3:P66" si="7">IF(L3&gt;=2.5,-(M3*C3/(2*K3^2)),-(M3*C3*(D3^2)/2))</f>
        <v>-12194780734.740067</v>
      </c>
      <c r="Q3" s="4">
        <f>N2-N3</f>
        <v>0</v>
      </c>
      <c r="R3" s="4">
        <f>O2-O3</f>
        <v>0</v>
      </c>
      <c r="S3" s="4">
        <f>P2-P3</f>
        <v>0</v>
      </c>
      <c r="T3" s="3"/>
      <c r="U3" s="4">
        <f t="shared" ref="U3:U66" si="8">2*I3*(G3+1)</f>
        <v>39000000</v>
      </c>
      <c r="V3">
        <f t="shared" ref="V3:V66" si="9">J3*F3</f>
        <v>500160050515.12274</v>
      </c>
      <c r="W3" s="7">
        <v>1.9000000000000001E-4</v>
      </c>
    </row>
    <row r="4" spans="1:23" x14ac:dyDescent="0.5">
      <c r="A4" s="3">
        <v>0</v>
      </c>
      <c r="B4" s="5">
        <v>1</v>
      </c>
      <c r="C4" s="3">
        <v>5</v>
      </c>
      <c r="D4" s="3">
        <v>20</v>
      </c>
      <c r="E4" s="3">
        <v>0.05</v>
      </c>
      <c r="F4" s="3">
        <f t="shared" si="0"/>
        <v>2.3817145262624893</v>
      </c>
      <c r="G4" s="5">
        <v>0.3</v>
      </c>
      <c r="H4" s="4">
        <v>15000000</v>
      </c>
      <c r="I4" s="4">
        <f t="shared" si="1"/>
        <v>15000000</v>
      </c>
      <c r="J4" s="3">
        <v>210000000000</v>
      </c>
      <c r="K4" s="4">
        <f t="shared" si="2"/>
        <v>7.4300844883289363E-2</v>
      </c>
      <c r="L4" s="6">
        <f t="shared" si="3"/>
        <v>1.4860168976657873</v>
      </c>
      <c r="M4" s="4">
        <f t="shared" si="4"/>
        <v>12194780.734740067</v>
      </c>
      <c r="N4" s="4">
        <f t="shared" si="5"/>
        <v>1219478073.4740067</v>
      </c>
      <c r="O4" s="4">
        <f t="shared" si="6"/>
        <v>162597076463.2009</v>
      </c>
      <c r="P4" s="4">
        <f t="shared" si="7"/>
        <v>-12194780734.740067</v>
      </c>
      <c r="Q4" s="4">
        <f t="shared" ref="Q4:Q67" si="10">N3-N4</f>
        <v>0</v>
      </c>
      <c r="R4" s="4">
        <f t="shared" ref="R4:R67" si="11">O3-O4</f>
        <v>0</v>
      </c>
      <c r="S4" s="4">
        <f t="shared" ref="S4:S67" si="12">P3-P4</f>
        <v>0</v>
      </c>
      <c r="T4" s="3"/>
      <c r="U4" s="4">
        <f t="shared" si="8"/>
        <v>39000000</v>
      </c>
      <c r="V4">
        <f t="shared" si="9"/>
        <v>500160050515.12274</v>
      </c>
      <c r="W4" s="7">
        <v>2.8000000000000003E-4</v>
      </c>
    </row>
    <row r="5" spans="1:23" x14ac:dyDescent="0.5">
      <c r="A5" s="3">
        <v>0</v>
      </c>
      <c r="B5" s="5">
        <v>1</v>
      </c>
      <c r="C5" s="3">
        <v>5</v>
      </c>
      <c r="D5" s="3">
        <v>20</v>
      </c>
      <c r="E5" s="3">
        <v>0.05</v>
      </c>
      <c r="F5" s="3">
        <f t="shared" si="0"/>
        <v>2.3817145262624893</v>
      </c>
      <c r="G5" s="5">
        <v>0.3</v>
      </c>
      <c r="H5" s="4">
        <v>15000000</v>
      </c>
      <c r="I5" s="4">
        <f t="shared" si="1"/>
        <v>15000000</v>
      </c>
      <c r="J5" s="3">
        <v>210000000000</v>
      </c>
      <c r="K5" s="4">
        <f t="shared" si="2"/>
        <v>7.4300844883289363E-2</v>
      </c>
      <c r="L5" s="6">
        <f t="shared" si="3"/>
        <v>1.4860168976657873</v>
      </c>
      <c r="M5" s="4">
        <f t="shared" si="4"/>
        <v>12194780.734740067</v>
      </c>
      <c r="N5" s="4">
        <f t="shared" si="5"/>
        <v>1219478073.4740067</v>
      </c>
      <c r="O5" s="4">
        <f t="shared" si="6"/>
        <v>162597076463.2009</v>
      </c>
      <c r="P5" s="4">
        <f t="shared" si="7"/>
        <v>-12194780734.740067</v>
      </c>
      <c r="Q5" s="4">
        <f t="shared" si="10"/>
        <v>0</v>
      </c>
      <c r="R5" s="4">
        <f t="shared" si="11"/>
        <v>0</v>
      </c>
      <c r="S5" s="4">
        <f t="shared" si="12"/>
        <v>0</v>
      </c>
      <c r="T5" s="3"/>
      <c r="U5" s="4">
        <f t="shared" si="8"/>
        <v>39000000</v>
      </c>
      <c r="V5">
        <f t="shared" si="9"/>
        <v>500160050515.12274</v>
      </c>
      <c r="W5" s="7">
        <v>3.7000000000000005E-4</v>
      </c>
    </row>
    <row r="6" spans="1:23" x14ac:dyDescent="0.5">
      <c r="A6" s="3">
        <v>0</v>
      </c>
      <c r="B6" s="5">
        <v>1</v>
      </c>
      <c r="C6" s="3">
        <v>5</v>
      </c>
      <c r="D6" s="3">
        <v>20</v>
      </c>
      <c r="E6" s="3">
        <v>0.05</v>
      </c>
      <c r="F6" s="3">
        <f t="shared" si="0"/>
        <v>2.3817145262624893</v>
      </c>
      <c r="G6" s="5">
        <v>0.3</v>
      </c>
      <c r="H6" s="4">
        <v>15000000</v>
      </c>
      <c r="I6" s="4">
        <f t="shared" si="1"/>
        <v>15000000</v>
      </c>
      <c r="J6" s="3">
        <v>210000000000</v>
      </c>
      <c r="K6" s="4">
        <f t="shared" si="2"/>
        <v>7.4300844883289363E-2</v>
      </c>
      <c r="L6" s="6">
        <f t="shared" si="3"/>
        <v>1.4860168976657873</v>
      </c>
      <c r="M6" s="4">
        <f t="shared" si="4"/>
        <v>12194780.734740067</v>
      </c>
      <c r="N6" s="4">
        <f t="shared" si="5"/>
        <v>1219478073.4740067</v>
      </c>
      <c r="O6" s="4">
        <f t="shared" si="6"/>
        <v>162597076463.2009</v>
      </c>
      <c r="P6" s="4">
        <f t="shared" si="7"/>
        <v>-12194780734.740067</v>
      </c>
      <c r="Q6" s="4">
        <f t="shared" si="10"/>
        <v>0</v>
      </c>
      <c r="R6" s="4">
        <f t="shared" si="11"/>
        <v>0</v>
      </c>
      <c r="S6" s="4">
        <f t="shared" si="12"/>
        <v>0</v>
      </c>
      <c r="T6" s="3"/>
      <c r="U6" s="4">
        <f t="shared" si="8"/>
        <v>39000000</v>
      </c>
      <c r="V6">
        <f t="shared" si="9"/>
        <v>500160050515.12274</v>
      </c>
      <c r="W6" s="7">
        <v>4.6000000000000007E-4</v>
      </c>
    </row>
    <row r="7" spans="1:23" x14ac:dyDescent="0.5">
      <c r="A7" s="3">
        <v>0</v>
      </c>
      <c r="B7" s="5">
        <v>1</v>
      </c>
      <c r="C7" s="3">
        <v>5</v>
      </c>
      <c r="D7" s="3">
        <v>20</v>
      </c>
      <c r="E7" s="3">
        <v>0.05</v>
      </c>
      <c r="F7" s="3">
        <f t="shared" si="0"/>
        <v>2.3817145262624893</v>
      </c>
      <c r="G7" s="5">
        <v>0.3</v>
      </c>
      <c r="H7" s="4">
        <v>15000000</v>
      </c>
      <c r="I7" s="4">
        <f t="shared" si="1"/>
        <v>15000000</v>
      </c>
      <c r="J7" s="3">
        <v>210000000000</v>
      </c>
      <c r="K7" s="4">
        <f t="shared" si="2"/>
        <v>7.4300844883289363E-2</v>
      </c>
      <c r="L7" s="6">
        <f t="shared" si="3"/>
        <v>1.4860168976657873</v>
      </c>
      <c r="M7" s="4">
        <f t="shared" si="4"/>
        <v>12194780.734740067</v>
      </c>
      <c r="N7" s="4">
        <f t="shared" si="5"/>
        <v>1219478073.4740067</v>
      </c>
      <c r="O7" s="4">
        <f t="shared" si="6"/>
        <v>162597076463.2009</v>
      </c>
      <c r="P7" s="4">
        <f t="shared" si="7"/>
        <v>-12194780734.740067</v>
      </c>
      <c r="Q7" s="4">
        <f t="shared" si="10"/>
        <v>0</v>
      </c>
      <c r="R7" s="4">
        <f t="shared" si="11"/>
        <v>0</v>
      </c>
      <c r="S7" s="4">
        <f t="shared" si="12"/>
        <v>0</v>
      </c>
      <c r="T7" s="3"/>
      <c r="U7" s="4">
        <f t="shared" si="8"/>
        <v>39000000</v>
      </c>
      <c r="V7">
        <f t="shared" si="9"/>
        <v>500160050515.12274</v>
      </c>
      <c r="W7" s="7">
        <v>5.5000000000000003E-4</v>
      </c>
    </row>
    <row r="8" spans="1:23" x14ac:dyDescent="0.5">
      <c r="A8" s="3">
        <v>0</v>
      </c>
      <c r="B8" s="3">
        <v>0.99743918053777203</v>
      </c>
      <c r="C8" s="3">
        <v>5</v>
      </c>
      <c r="D8" s="3">
        <v>20</v>
      </c>
      <c r="E8" s="3">
        <v>0.05</v>
      </c>
      <c r="F8" s="3">
        <f t="shared" si="0"/>
        <v>2.3817145262624893</v>
      </c>
      <c r="G8" s="5">
        <v>0.3</v>
      </c>
      <c r="H8" s="4">
        <v>15000000</v>
      </c>
      <c r="I8" s="4">
        <f t="shared" si="1"/>
        <v>14961587.708066581</v>
      </c>
      <c r="J8" s="3">
        <v>210000000000</v>
      </c>
      <c r="K8" s="4">
        <f t="shared" si="2"/>
        <v>7.4300844883289363E-2</v>
      </c>
      <c r="L8" s="6">
        <f t="shared" si="3"/>
        <v>1.4860168976657873</v>
      </c>
      <c r="M8" s="4">
        <f t="shared" si="4"/>
        <v>12160953.329535095</v>
      </c>
      <c r="N8" s="4">
        <f t="shared" si="5"/>
        <v>1216095332.9535096</v>
      </c>
      <c r="O8" s="4">
        <f t="shared" si="6"/>
        <v>162146044393.80127</v>
      </c>
      <c r="P8" s="4">
        <f t="shared" si="7"/>
        <v>-12160953329.535095</v>
      </c>
      <c r="Q8" s="4">
        <f t="shared" si="10"/>
        <v>3382740.5204970837</v>
      </c>
      <c r="R8" s="4">
        <f t="shared" si="11"/>
        <v>451032069.39962769</v>
      </c>
      <c r="S8" s="4">
        <f t="shared" si="12"/>
        <v>-33827405.204971313</v>
      </c>
      <c r="T8" s="3"/>
      <c r="U8" s="4">
        <f t="shared" si="8"/>
        <v>38900128.040973112</v>
      </c>
      <c r="V8">
        <f t="shared" si="9"/>
        <v>500160050515.12274</v>
      </c>
      <c r="W8" s="7">
        <v>6.4000000000000005E-4</v>
      </c>
    </row>
    <row r="9" spans="1:23" x14ac:dyDescent="0.5">
      <c r="A9" s="3">
        <v>0</v>
      </c>
      <c r="B9" s="3">
        <v>0.99487836107554395</v>
      </c>
      <c r="C9" s="3">
        <v>5</v>
      </c>
      <c r="D9" s="3">
        <v>20</v>
      </c>
      <c r="E9" s="3">
        <v>0.05</v>
      </c>
      <c r="F9" s="3">
        <f t="shared" si="0"/>
        <v>2.3817145262624893</v>
      </c>
      <c r="G9" s="5">
        <v>0.3</v>
      </c>
      <c r="H9" s="4">
        <v>15000000</v>
      </c>
      <c r="I9" s="4">
        <f t="shared" si="1"/>
        <v>14923175.41613316</v>
      </c>
      <c r="J9" s="3">
        <v>210000000000</v>
      </c>
      <c r="K9" s="4">
        <f t="shared" si="2"/>
        <v>7.4300844883289363E-2</v>
      </c>
      <c r="L9" s="6">
        <f t="shared" si="3"/>
        <v>1.4860168976657873</v>
      </c>
      <c r="M9" s="4">
        <f t="shared" si="4"/>
        <v>12127133.160920272</v>
      </c>
      <c r="N9" s="4">
        <f t="shared" si="5"/>
        <v>1212713316.0920272</v>
      </c>
      <c r="O9" s="4">
        <f t="shared" si="6"/>
        <v>161695108812.27029</v>
      </c>
      <c r="P9" s="4">
        <f t="shared" si="7"/>
        <v>-12127133160.920271</v>
      </c>
      <c r="Q9" s="4">
        <f t="shared" si="10"/>
        <v>3382016.8614823818</v>
      </c>
      <c r="R9" s="4">
        <f t="shared" si="11"/>
        <v>450935581.53097534</v>
      </c>
      <c r="S9" s="4">
        <f t="shared" si="12"/>
        <v>-33820168.614824295</v>
      </c>
      <c r="T9" s="3"/>
      <c r="U9" s="4">
        <f t="shared" si="8"/>
        <v>38800256.081946217</v>
      </c>
      <c r="V9">
        <f t="shared" si="9"/>
        <v>500160050515.12274</v>
      </c>
      <c r="W9" s="7">
        <v>7.3000000000000007E-4</v>
      </c>
    </row>
    <row r="10" spans="1:23" x14ac:dyDescent="0.5">
      <c r="A10" s="3">
        <v>0</v>
      </c>
      <c r="B10" s="3">
        <v>0.98719590268886004</v>
      </c>
      <c r="C10" s="3">
        <v>5</v>
      </c>
      <c r="D10" s="3">
        <v>20</v>
      </c>
      <c r="E10" s="3">
        <v>0.05</v>
      </c>
      <c r="F10" s="3">
        <f t="shared" si="0"/>
        <v>2.3817145262624893</v>
      </c>
      <c r="G10" s="5">
        <v>0.3</v>
      </c>
      <c r="H10" s="4">
        <v>15000000</v>
      </c>
      <c r="I10" s="4">
        <f t="shared" si="1"/>
        <v>14807938.5403329</v>
      </c>
      <c r="J10" s="3">
        <v>210000000000</v>
      </c>
      <c r="K10" s="4">
        <f t="shared" si="2"/>
        <v>7.4300844883289363E-2</v>
      </c>
      <c r="L10" s="6">
        <f t="shared" si="3"/>
        <v>1.4860168976657873</v>
      </c>
      <c r="M10" s="4">
        <f t="shared" si="4"/>
        <v>12025716.24576916</v>
      </c>
      <c r="N10" s="4">
        <f t="shared" si="5"/>
        <v>1202571624.576916</v>
      </c>
      <c r="O10" s="4">
        <f t="shared" si="6"/>
        <v>160342883276.92212</v>
      </c>
      <c r="P10" s="4">
        <f t="shared" si="7"/>
        <v>-12025716245.769159</v>
      </c>
      <c r="Q10" s="4">
        <f t="shared" si="10"/>
        <v>10141691.515111208</v>
      </c>
      <c r="R10" s="4">
        <f t="shared" si="11"/>
        <v>1352225535.348175</v>
      </c>
      <c r="S10" s="4">
        <f t="shared" si="12"/>
        <v>-101416915.1511116</v>
      </c>
      <c r="T10" s="3"/>
      <c r="U10" s="4">
        <f t="shared" si="8"/>
        <v>38500640.204865545</v>
      </c>
      <c r="V10">
        <f t="shared" si="9"/>
        <v>500160050515.12274</v>
      </c>
      <c r="W10" s="7">
        <v>8.2000000000000009E-4</v>
      </c>
    </row>
    <row r="11" spans="1:23" x14ac:dyDescent="0.5">
      <c r="A11" s="3">
        <v>0</v>
      </c>
      <c r="B11" s="3">
        <v>0.97695262483994805</v>
      </c>
      <c r="C11" s="3">
        <v>5</v>
      </c>
      <c r="D11" s="3">
        <v>20</v>
      </c>
      <c r="E11" s="3">
        <v>0.05</v>
      </c>
      <c r="F11" s="3">
        <f t="shared" si="0"/>
        <v>2.3817145262624893</v>
      </c>
      <c r="G11" s="5">
        <v>0.3</v>
      </c>
      <c r="H11" s="4">
        <v>15000000</v>
      </c>
      <c r="I11" s="4">
        <f t="shared" si="1"/>
        <v>14654289.37259922</v>
      </c>
      <c r="J11" s="3">
        <v>210000000000</v>
      </c>
      <c r="K11" s="4">
        <f t="shared" si="2"/>
        <v>7.4300844883289363E-2</v>
      </c>
      <c r="L11" s="6">
        <f t="shared" si="3"/>
        <v>1.4860168976657873</v>
      </c>
      <c r="M11" s="4">
        <f t="shared" si="4"/>
        <v>11890596.049989408</v>
      </c>
      <c r="N11" s="4">
        <f t="shared" si="5"/>
        <v>1189059604.9989409</v>
      </c>
      <c r="O11" s="4">
        <f t="shared" si="6"/>
        <v>158541280666.52545</v>
      </c>
      <c r="P11" s="4">
        <f t="shared" si="7"/>
        <v>-11890596049.989408</v>
      </c>
      <c r="Q11" s="4">
        <f t="shared" si="10"/>
        <v>13512019.577975035</v>
      </c>
      <c r="R11" s="4">
        <f t="shared" si="11"/>
        <v>1801602610.3966675</v>
      </c>
      <c r="S11" s="4">
        <f t="shared" si="12"/>
        <v>-135120195.77975082</v>
      </c>
      <c r="T11" s="3"/>
      <c r="U11" s="4">
        <f t="shared" si="8"/>
        <v>38101152.368757971</v>
      </c>
      <c r="V11">
        <f t="shared" si="9"/>
        <v>500160050515.12274</v>
      </c>
      <c r="W11" s="7">
        <v>9.1000000000000011E-4</v>
      </c>
    </row>
    <row r="12" spans="1:23" x14ac:dyDescent="0.5">
      <c r="A12" s="3">
        <v>0</v>
      </c>
      <c r="B12" s="3">
        <v>0.96542893725992296</v>
      </c>
      <c r="C12" s="3">
        <v>5</v>
      </c>
      <c r="D12" s="3">
        <v>20</v>
      </c>
      <c r="E12" s="3">
        <v>0.05</v>
      </c>
      <c r="F12" s="3">
        <f t="shared" si="0"/>
        <v>2.3817145262624893</v>
      </c>
      <c r="G12" s="5">
        <v>0.3</v>
      </c>
      <c r="H12" s="4">
        <v>15000000</v>
      </c>
      <c r="I12" s="4">
        <f t="shared" si="1"/>
        <v>14481434.058898844</v>
      </c>
      <c r="J12" s="3">
        <v>210000000000</v>
      </c>
      <c r="K12" s="4">
        <f t="shared" si="2"/>
        <v>7.4300844883289363E-2</v>
      </c>
      <c r="L12" s="6">
        <f t="shared" si="3"/>
        <v>1.4860168976657873</v>
      </c>
      <c r="M12" s="4">
        <f t="shared" si="4"/>
        <v>11738726.946534919</v>
      </c>
      <c r="N12" s="4">
        <f t="shared" si="5"/>
        <v>1173872694.6534917</v>
      </c>
      <c r="O12" s="4">
        <f t="shared" si="6"/>
        <v>156516359287.13223</v>
      </c>
      <c r="P12" s="4">
        <f t="shared" si="7"/>
        <v>-11738726946.534918</v>
      </c>
      <c r="Q12" s="4">
        <f t="shared" si="10"/>
        <v>15186910.345449209</v>
      </c>
      <c r="R12" s="4">
        <f t="shared" si="11"/>
        <v>2024921379.393219</v>
      </c>
      <c r="S12" s="4">
        <f t="shared" si="12"/>
        <v>-151869103.45449066</v>
      </c>
      <c r="T12" s="3"/>
      <c r="U12" s="4">
        <f t="shared" si="8"/>
        <v>37651728.553136997</v>
      </c>
      <c r="V12">
        <f t="shared" si="9"/>
        <v>500160050515.12274</v>
      </c>
      <c r="W12" s="7">
        <v>1E-3</v>
      </c>
    </row>
    <row r="13" spans="1:23" x14ac:dyDescent="0.5">
      <c r="A13" s="3">
        <v>0</v>
      </c>
      <c r="B13" s="3">
        <v>0.95198463508322595</v>
      </c>
      <c r="C13" s="3">
        <v>5</v>
      </c>
      <c r="D13" s="3">
        <v>20</v>
      </c>
      <c r="E13" s="3">
        <v>0.05</v>
      </c>
      <c r="F13" s="3">
        <f t="shared" si="0"/>
        <v>2.3817145262624893</v>
      </c>
      <c r="G13" s="5">
        <v>0.3</v>
      </c>
      <c r="H13" s="4">
        <v>15000000</v>
      </c>
      <c r="I13" s="4">
        <f t="shared" si="1"/>
        <v>14279769.52624839</v>
      </c>
      <c r="J13" s="3">
        <v>210000000000</v>
      </c>
      <c r="K13" s="4">
        <f t="shared" si="2"/>
        <v>7.4300844883289363E-2</v>
      </c>
      <c r="L13" s="6">
        <f t="shared" si="3"/>
        <v>1.4860168976657873</v>
      </c>
      <c r="M13" s="4">
        <f t="shared" si="4"/>
        <v>11561737.279432433</v>
      </c>
      <c r="N13" s="4">
        <f t="shared" si="5"/>
        <v>1156173727.9432433</v>
      </c>
      <c r="O13" s="4">
        <f t="shared" si="6"/>
        <v>154156497059.09909</v>
      </c>
      <c r="P13" s="4">
        <f t="shared" si="7"/>
        <v>-11561737279.432432</v>
      </c>
      <c r="Q13" s="4">
        <f t="shared" si="10"/>
        <v>17698966.71024847</v>
      </c>
      <c r="R13" s="4">
        <f t="shared" si="11"/>
        <v>2359862228.0331421</v>
      </c>
      <c r="S13" s="4">
        <f t="shared" si="12"/>
        <v>-176989667.10248566</v>
      </c>
      <c r="T13" s="3"/>
      <c r="U13" s="4">
        <f t="shared" si="8"/>
        <v>37127400.768245816</v>
      </c>
      <c r="V13">
        <f t="shared" si="9"/>
        <v>500160050515.12274</v>
      </c>
      <c r="W13" s="7">
        <v>1.9000000000000002E-3</v>
      </c>
    </row>
    <row r="14" spans="1:23" x14ac:dyDescent="0.5">
      <c r="A14" s="3">
        <v>0</v>
      </c>
      <c r="B14" s="3">
        <v>0.93854033290653005</v>
      </c>
      <c r="C14" s="3">
        <v>5</v>
      </c>
      <c r="D14" s="3">
        <v>20</v>
      </c>
      <c r="E14" s="3">
        <v>0.05</v>
      </c>
      <c r="F14" s="3">
        <f t="shared" si="0"/>
        <v>2.3817145262624893</v>
      </c>
      <c r="G14" s="5">
        <v>0.3</v>
      </c>
      <c r="H14" s="4">
        <v>15000000</v>
      </c>
      <c r="I14" s="4">
        <f t="shared" si="1"/>
        <v>14078104.993597951</v>
      </c>
      <c r="J14" s="3">
        <v>210000000000</v>
      </c>
      <c r="K14" s="4">
        <f t="shared" si="2"/>
        <v>7.4300844883289363E-2</v>
      </c>
      <c r="L14" s="6">
        <f t="shared" si="3"/>
        <v>1.4860168976657873</v>
      </c>
      <c r="M14" s="4">
        <f t="shared" si="4"/>
        <v>11384955.789591668</v>
      </c>
      <c r="N14" s="4">
        <f t="shared" si="5"/>
        <v>1138495578.9591668</v>
      </c>
      <c r="O14" s="4">
        <f t="shared" si="6"/>
        <v>151799410527.88892</v>
      </c>
      <c r="P14" s="4">
        <f t="shared" si="7"/>
        <v>-11384955789.591669</v>
      </c>
      <c r="Q14" s="4">
        <f t="shared" si="10"/>
        <v>17678148.9840765</v>
      </c>
      <c r="R14" s="4">
        <f t="shared" si="11"/>
        <v>2357086531.2101746</v>
      </c>
      <c r="S14" s="4">
        <f t="shared" si="12"/>
        <v>-176781489.84076309</v>
      </c>
      <c r="T14" s="3"/>
      <c r="U14" s="4">
        <f t="shared" si="8"/>
        <v>36603072.983354673</v>
      </c>
      <c r="V14">
        <f t="shared" si="9"/>
        <v>500160050515.12274</v>
      </c>
      <c r="W14" s="7">
        <v>2.8000000000000004E-3</v>
      </c>
    </row>
    <row r="15" spans="1:23" x14ac:dyDescent="0.5">
      <c r="A15" s="3">
        <v>0</v>
      </c>
      <c r="B15" s="3">
        <v>0.92125480153649097</v>
      </c>
      <c r="C15" s="3">
        <v>5</v>
      </c>
      <c r="D15" s="3">
        <v>20</v>
      </c>
      <c r="E15" s="3">
        <v>0.05</v>
      </c>
      <c r="F15" s="3">
        <f t="shared" si="0"/>
        <v>2.3817145262624893</v>
      </c>
      <c r="G15" s="5">
        <v>0.3</v>
      </c>
      <c r="H15" s="4">
        <v>15000000</v>
      </c>
      <c r="I15" s="4">
        <f t="shared" si="1"/>
        <v>13818822.023047365</v>
      </c>
      <c r="J15" s="3">
        <v>210000000000</v>
      </c>
      <c r="K15" s="4">
        <f t="shared" si="2"/>
        <v>7.4300844883289363E-2</v>
      </c>
      <c r="L15" s="6">
        <f t="shared" si="3"/>
        <v>1.4860168976657873</v>
      </c>
      <c r="M15" s="4">
        <f t="shared" si="4"/>
        <v>11157975.601350714</v>
      </c>
      <c r="N15" s="4">
        <f t="shared" si="5"/>
        <v>1115797560.1350713</v>
      </c>
      <c r="O15" s="4">
        <f t="shared" si="6"/>
        <v>148773008018.00949</v>
      </c>
      <c r="P15" s="4">
        <f t="shared" si="7"/>
        <v>-11157975601.350712</v>
      </c>
      <c r="Q15" s="4">
        <f t="shared" si="10"/>
        <v>22698018.824095488</v>
      </c>
      <c r="R15" s="4">
        <f t="shared" si="11"/>
        <v>3026402509.879425</v>
      </c>
      <c r="S15" s="4">
        <f t="shared" si="12"/>
        <v>-226980188.24095726</v>
      </c>
      <c r="T15" s="3"/>
      <c r="U15" s="4">
        <f t="shared" si="8"/>
        <v>35928937.259923153</v>
      </c>
      <c r="V15">
        <f t="shared" si="9"/>
        <v>500160050515.12274</v>
      </c>
      <c r="W15" s="7">
        <v>3.7000000000000006E-3</v>
      </c>
    </row>
    <row r="16" spans="1:23" x14ac:dyDescent="0.5">
      <c r="A16" s="3">
        <v>0</v>
      </c>
      <c r="B16" s="3">
        <v>0.90076824583866799</v>
      </c>
      <c r="C16" s="3">
        <v>5</v>
      </c>
      <c r="D16" s="3">
        <v>20</v>
      </c>
      <c r="E16" s="3">
        <v>0.05</v>
      </c>
      <c r="F16" s="3">
        <f t="shared" si="0"/>
        <v>2.3817145262624893</v>
      </c>
      <c r="G16" s="5">
        <v>0.3</v>
      </c>
      <c r="H16" s="4">
        <v>15000000</v>
      </c>
      <c r="I16" s="4">
        <f t="shared" si="1"/>
        <v>13511523.687580019</v>
      </c>
      <c r="J16" s="3">
        <v>210000000000</v>
      </c>
      <c r="K16" s="4">
        <f t="shared" si="2"/>
        <v>7.4300844883289363E-2</v>
      </c>
      <c r="L16" s="6">
        <f t="shared" si="3"/>
        <v>1.4860168976657873</v>
      </c>
      <c r="M16" s="4">
        <f t="shared" si="4"/>
        <v>10889421.777092284</v>
      </c>
      <c r="N16" s="4">
        <f t="shared" si="5"/>
        <v>1088942177.7092285</v>
      </c>
      <c r="O16" s="4">
        <f t="shared" si="6"/>
        <v>145192290361.23044</v>
      </c>
      <c r="P16" s="4">
        <f t="shared" si="7"/>
        <v>-10889421777.092283</v>
      </c>
      <c r="Q16" s="4">
        <f t="shared" si="10"/>
        <v>26855382.425842762</v>
      </c>
      <c r="R16" s="4">
        <f t="shared" si="11"/>
        <v>3580717656.7790527</v>
      </c>
      <c r="S16" s="4">
        <f t="shared" si="12"/>
        <v>-268553824.25842857</v>
      </c>
      <c r="T16" s="3"/>
      <c r="U16" s="4">
        <f t="shared" si="8"/>
        <v>35129961.587708049</v>
      </c>
      <c r="V16">
        <f t="shared" si="9"/>
        <v>500160050515.12274</v>
      </c>
      <c r="W16" s="7">
        <v>4.6000000000000008E-3</v>
      </c>
    </row>
    <row r="17" spans="1:23" x14ac:dyDescent="0.5">
      <c r="A17" s="3">
        <v>0</v>
      </c>
      <c r="B17" s="3">
        <v>0.87836107554417397</v>
      </c>
      <c r="C17" s="3">
        <v>5</v>
      </c>
      <c r="D17" s="3">
        <v>20</v>
      </c>
      <c r="E17" s="3">
        <v>0.05</v>
      </c>
      <c r="F17" s="3">
        <f t="shared" si="0"/>
        <v>2.3817145262624893</v>
      </c>
      <c r="G17" s="5">
        <v>0.3</v>
      </c>
      <c r="H17" s="4">
        <v>15000000</v>
      </c>
      <c r="I17" s="4">
        <f t="shared" si="1"/>
        <v>13175416.13316261</v>
      </c>
      <c r="J17" s="3">
        <v>210000000000</v>
      </c>
      <c r="K17" s="4">
        <f t="shared" si="2"/>
        <v>7.4300844883289363E-2</v>
      </c>
      <c r="L17" s="6">
        <f t="shared" si="3"/>
        <v>1.4860168976657873</v>
      </c>
      <c r="M17" s="4">
        <f t="shared" si="4"/>
        <v>10596273.71102239</v>
      </c>
      <c r="N17" s="4">
        <f t="shared" si="5"/>
        <v>1059627371.102239</v>
      </c>
      <c r="O17" s="4">
        <f t="shared" si="6"/>
        <v>141283649480.29855</v>
      </c>
      <c r="P17" s="4">
        <f t="shared" si="7"/>
        <v>-10596273711.02239</v>
      </c>
      <c r="Q17" s="4">
        <f t="shared" si="10"/>
        <v>29314806.606989503</v>
      </c>
      <c r="R17" s="4">
        <f t="shared" si="11"/>
        <v>3908640880.9318848</v>
      </c>
      <c r="S17" s="4">
        <f t="shared" si="12"/>
        <v>-293148066.06989288</v>
      </c>
      <c r="T17" s="3"/>
      <c r="U17" s="4">
        <f t="shared" si="8"/>
        <v>34256081.94622279</v>
      </c>
      <c r="V17">
        <f t="shared" si="9"/>
        <v>500160050515.12274</v>
      </c>
      <c r="W17" s="7">
        <v>5.5000000000000005E-3</v>
      </c>
    </row>
    <row r="18" spans="1:23" x14ac:dyDescent="0.5">
      <c r="A18" s="3">
        <v>0</v>
      </c>
      <c r="B18" s="3">
        <v>0.85147247119078096</v>
      </c>
      <c r="C18" s="3">
        <v>5</v>
      </c>
      <c r="D18" s="3">
        <v>20</v>
      </c>
      <c r="E18" s="3">
        <v>0.05</v>
      </c>
      <c r="F18" s="3">
        <f t="shared" si="0"/>
        <v>2.3817145262624893</v>
      </c>
      <c r="G18" s="5">
        <v>0.3</v>
      </c>
      <c r="H18" s="4">
        <v>15000000</v>
      </c>
      <c r="I18" s="4">
        <f t="shared" si="1"/>
        <v>12772087.067861713</v>
      </c>
      <c r="J18" s="3">
        <v>210000000000</v>
      </c>
      <c r="K18" s="4">
        <f t="shared" si="2"/>
        <v>7.4300844883289363E-2</v>
      </c>
      <c r="L18" s="6">
        <f t="shared" si="3"/>
        <v>1.4860168976657873</v>
      </c>
      <c r="M18" s="4">
        <f t="shared" si="4"/>
        <v>10245319.153131291</v>
      </c>
      <c r="N18" s="4">
        <f t="shared" si="5"/>
        <v>1024531915.3131292</v>
      </c>
      <c r="O18" s="4">
        <f t="shared" si="6"/>
        <v>136604255375.08388</v>
      </c>
      <c r="P18" s="4">
        <f t="shared" si="7"/>
        <v>-10245319153.13129</v>
      </c>
      <c r="Q18" s="4">
        <f t="shared" si="10"/>
        <v>35095455.789109826</v>
      </c>
      <c r="R18" s="4">
        <f t="shared" si="11"/>
        <v>4679394105.2146759</v>
      </c>
      <c r="S18" s="4">
        <f t="shared" si="12"/>
        <v>-350954557.89109993</v>
      </c>
      <c r="T18" s="3"/>
      <c r="U18" s="4">
        <f t="shared" si="8"/>
        <v>33207426.376440458</v>
      </c>
      <c r="V18">
        <f t="shared" si="9"/>
        <v>500160050515.12274</v>
      </c>
      <c r="W18" s="7">
        <v>6.4000000000000003E-3</v>
      </c>
    </row>
    <row r="19" spans="1:23" x14ac:dyDescent="0.5">
      <c r="A19" s="3">
        <v>0</v>
      </c>
      <c r="B19" s="3">
        <v>0.82202304737515997</v>
      </c>
      <c r="C19" s="3">
        <v>5</v>
      </c>
      <c r="D19" s="3">
        <v>20</v>
      </c>
      <c r="E19" s="3">
        <v>0.05</v>
      </c>
      <c r="F19" s="3">
        <f t="shared" si="0"/>
        <v>2.3817145262624893</v>
      </c>
      <c r="G19" s="5">
        <v>0.3</v>
      </c>
      <c r="H19" s="4">
        <v>15000000</v>
      </c>
      <c r="I19" s="4">
        <f t="shared" si="1"/>
        <v>12330345.710627399</v>
      </c>
      <c r="J19" s="3">
        <v>210000000000</v>
      </c>
      <c r="K19" s="4">
        <f t="shared" si="2"/>
        <v>7.4300844883289363E-2</v>
      </c>
      <c r="L19" s="6">
        <f t="shared" si="3"/>
        <v>1.4860168976657873</v>
      </c>
      <c r="M19" s="4">
        <f t="shared" si="4"/>
        <v>9861999.8071419466</v>
      </c>
      <c r="N19" s="4">
        <f t="shared" si="5"/>
        <v>986199980.71419466</v>
      </c>
      <c r="O19" s="4">
        <f t="shared" si="6"/>
        <v>131493330761.89262</v>
      </c>
      <c r="P19" s="4">
        <f t="shared" si="7"/>
        <v>-9861999807.1419468</v>
      </c>
      <c r="Q19" s="4">
        <f t="shared" si="10"/>
        <v>38331934.598934531</v>
      </c>
      <c r="R19" s="4">
        <f t="shared" si="11"/>
        <v>5110924613.1912537</v>
      </c>
      <c r="S19" s="4">
        <f t="shared" si="12"/>
        <v>-383319345.98934364</v>
      </c>
      <c r="T19" s="3"/>
      <c r="U19" s="4">
        <f t="shared" si="8"/>
        <v>32058898.847631238</v>
      </c>
      <c r="V19">
        <f t="shared" si="9"/>
        <v>500160050515.12274</v>
      </c>
      <c r="W19" s="7">
        <v>7.3000000000000001E-3</v>
      </c>
    </row>
    <row r="20" spans="1:23" x14ac:dyDescent="0.5">
      <c r="A20" s="3">
        <v>0</v>
      </c>
      <c r="B20" s="3">
        <v>0.79001280409731101</v>
      </c>
      <c r="C20" s="3">
        <v>5</v>
      </c>
      <c r="D20" s="3">
        <v>20</v>
      </c>
      <c r="E20" s="3">
        <v>0.05</v>
      </c>
      <c r="F20" s="3">
        <f t="shared" si="0"/>
        <v>2.3817145262624893</v>
      </c>
      <c r="G20" s="5">
        <v>0.3</v>
      </c>
      <c r="H20" s="4">
        <v>15000000</v>
      </c>
      <c r="I20" s="4">
        <f t="shared" si="1"/>
        <v>11850192.061459664</v>
      </c>
      <c r="J20" s="3">
        <v>210000000000</v>
      </c>
      <c r="K20" s="4">
        <f t="shared" si="2"/>
        <v>7.4300844883289363E-2</v>
      </c>
      <c r="L20" s="6">
        <f t="shared" si="3"/>
        <v>1.4860168976657873</v>
      </c>
      <c r="M20" s="4">
        <f t="shared" si="4"/>
        <v>9446645.9112784602</v>
      </c>
      <c r="N20" s="4">
        <f t="shared" si="5"/>
        <v>944664591.127846</v>
      </c>
      <c r="O20" s="4">
        <f t="shared" si="6"/>
        <v>125955278817.04613</v>
      </c>
      <c r="P20" s="4">
        <f t="shared" si="7"/>
        <v>-9446645911.2784595</v>
      </c>
      <c r="Q20" s="4">
        <f t="shared" si="10"/>
        <v>41535389.586348653</v>
      </c>
      <c r="R20" s="4">
        <f t="shared" si="11"/>
        <v>5538051944.8464966</v>
      </c>
      <c r="S20" s="4">
        <f t="shared" si="12"/>
        <v>-415353895.86348724</v>
      </c>
      <c r="T20" s="3"/>
      <c r="U20" s="4">
        <f t="shared" si="8"/>
        <v>30810499.359795127</v>
      </c>
      <c r="V20">
        <f t="shared" si="9"/>
        <v>500160050515.12274</v>
      </c>
      <c r="W20" s="7">
        <v>8.2000000000000007E-3</v>
      </c>
    </row>
    <row r="21" spans="1:23" x14ac:dyDescent="0.5">
      <c r="A21" s="3">
        <v>0</v>
      </c>
      <c r="B21" s="3">
        <v>0.75608194622279101</v>
      </c>
      <c r="C21" s="3">
        <v>5</v>
      </c>
      <c r="D21" s="3">
        <v>20</v>
      </c>
      <c r="E21" s="3">
        <v>0.05</v>
      </c>
      <c r="F21" s="3">
        <f t="shared" si="0"/>
        <v>2.3817145262624893</v>
      </c>
      <c r="G21" s="5">
        <v>0.3</v>
      </c>
      <c r="H21" s="4">
        <v>15000000</v>
      </c>
      <c r="I21" s="4">
        <f t="shared" si="1"/>
        <v>11341229.193341864</v>
      </c>
      <c r="J21" s="3">
        <v>210000000000</v>
      </c>
      <c r="K21" s="4">
        <f t="shared" si="2"/>
        <v>7.4300844883289363E-2</v>
      </c>
      <c r="L21" s="6">
        <f t="shared" si="3"/>
        <v>1.4860168976657873</v>
      </c>
      <c r="M21" s="4">
        <f t="shared" si="4"/>
        <v>9007900.9707240369</v>
      </c>
      <c r="N21" s="4">
        <f t="shared" si="5"/>
        <v>900790097.07240367</v>
      </c>
      <c r="O21" s="4">
        <f t="shared" si="6"/>
        <v>120105346276.3205</v>
      </c>
      <c r="P21" s="4">
        <f t="shared" si="7"/>
        <v>-9007900970.7240372</v>
      </c>
      <c r="Q21" s="4">
        <f t="shared" si="10"/>
        <v>43874494.055442333</v>
      </c>
      <c r="R21" s="4">
        <f t="shared" si="11"/>
        <v>5849932540.7256317</v>
      </c>
      <c r="S21" s="4">
        <f t="shared" si="12"/>
        <v>-438744940.55442238</v>
      </c>
      <c r="T21" s="3"/>
      <c r="U21" s="4">
        <f t="shared" si="8"/>
        <v>29487195.90268885</v>
      </c>
      <c r="V21">
        <f t="shared" si="9"/>
        <v>500160050515.12274</v>
      </c>
      <c r="W21" s="7">
        <v>9.1000000000000004E-3</v>
      </c>
    </row>
    <row r="22" spans="1:23" x14ac:dyDescent="0.5">
      <c r="A22" s="3">
        <v>0</v>
      </c>
      <c r="B22" s="3">
        <v>0.71382842509602995</v>
      </c>
      <c r="C22" s="3">
        <v>5</v>
      </c>
      <c r="D22" s="3">
        <v>20</v>
      </c>
      <c r="E22" s="3">
        <v>0.05</v>
      </c>
      <c r="F22" s="3">
        <f t="shared" si="0"/>
        <v>2.3817145262624893</v>
      </c>
      <c r="G22" s="5">
        <v>0.3</v>
      </c>
      <c r="H22" s="4">
        <v>15000000</v>
      </c>
      <c r="I22" s="4">
        <f t="shared" si="1"/>
        <v>10707426.376440449</v>
      </c>
      <c r="J22" s="3">
        <v>210000000000</v>
      </c>
      <c r="K22" s="4">
        <f t="shared" si="2"/>
        <v>7.4300844883289363E-2</v>
      </c>
      <c r="L22" s="6">
        <f t="shared" si="3"/>
        <v>1.4860168976657873</v>
      </c>
      <c r="M22" s="4">
        <f t="shared" si="4"/>
        <v>8463837.5724187866</v>
      </c>
      <c r="N22" s="4">
        <f t="shared" si="5"/>
        <v>846383757.24187863</v>
      </c>
      <c r="O22" s="4">
        <f t="shared" si="6"/>
        <v>112851167632.25049</v>
      </c>
      <c r="P22" s="4">
        <f t="shared" si="7"/>
        <v>-8463837572.418787</v>
      </c>
      <c r="Q22" s="4">
        <f t="shared" si="10"/>
        <v>54406339.830525041</v>
      </c>
      <c r="R22" s="4">
        <f t="shared" si="11"/>
        <v>7254178644.0700073</v>
      </c>
      <c r="S22" s="4">
        <f t="shared" si="12"/>
        <v>-544063398.30525017</v>
      </c>
      <c r="T22" s="3"/>
      <c r="U22" s="4">
        <f t="shared" si="8"/>
        <v>27839308.578745168</v>
      </c>
      <c r="V22">
        <f t="shared" si="9"/>
        <v>500160050515.12274</v>
      </c>
      <c r="W22" s="7">
        <v>0.01</v>
      </c>
    </row>
    <row r="23" spans="1:23" x14ac:dyDescent="0.5">
      <c r="A23" s="3">
        <v>0</v>
      </c>
      <c r="B23" s="3">
        <v>0.66965428937259897</v>
      </c>
      <c r="C23" s="3">
        <v>5</v>
      </c>
      <c r="D23" s="3">
        <v>20</v>
      </c>
      <c r="E23" s="3">
        <v>0.05</v>
      </c>
      <c r="F23" s="3">
        <f t="shared" si="0"/>
        <v>2.3817145262624893</v>
      </c>
      <c r="G23" s="5">
        <v>0.3</v>
      </c>
      <c r="H23" s="4">
        <v>15000000</v>
      </c>
      <c r="I23" s="4">
        <f t="shared" si="1"/>
        <v>10044814.340588985</v>
      </c>
      <c r="J23" s="3">
        <v>210000000000</v>
      </c>
      <c r="K23" s="4">
        <f t="shared" si="2"/>
        <v>7.4300844883289363E-2</v>
      </c>
      <c r="L23" s="6">
        <f t="shared" si="3"/>
        <v>1.4860168976657873</v>
      </c>
      <c r="M23" s="4">
        <f t="shared" si="4"/>
        <v>7897910.4565746486</v>
      </c>
      <c r="N23" s="4">
        <f t="shared" si="5"/>
        <v>789791045.65746486</v>
      </c>
      <c r="O23" s="4">
        <f t="shared" si="6"/>
        <v>105305472754.32866</v>
      </c>
      <c r="P23" s="4">
        <f t="shared" si="7"/>
        <v>-7897910456.5746489</v>
      </c>
      <c r="Q23" s="4">
        <f t="shared" si="10"/>
        <v>56592711.584413767</v>
      </c>
      <c r="R23" s="4">
        <f t="shared" si="11"/>
        <v>7545694877.9218292</v>
      </c>
      <c r="S23" s="4">
        <f t="shared" si="12"/>
        <v>-565927115.84413815</v>
      </c>
      <c r="T23" s="3"/>
      <c r="U23" s="4">
        <f t="shared" si="8"/>
        <v>26116517.285531361</v>
      </c>
      <c r="V23">
        <f t="shared" si="9"/>
        <v>500160050515.12274</v>
      </c>
      <c r="W23" s="7">
        <v>1.9000000000000003E-2</v>
      </c>
    </row>
    <row r="24" spans="1:23" x14ac:dyDescent="0.5">
      <c r="A24" s="3">
        <v>0</v>
      </c>
      <c r="B24" s="3">
        <v>0.62548015364916698</v>
      </c>
      <c r="C24" s="3">
        <v>5</v>
      </c>
      <c r="D24" s="3">
        <v>20</v>
      </c>
      <c r="E24" s="3">
        <v>0.05</v>
      </c>
      <c r="F24" s="3">
        <f t="shared" si="0"/>
        <v>2.3817145262624893</v>
      </c>
      <c r="G24" s="5">
        <v>0.3</v>
      </c>
      <c r="H24" s="4">
        <v>15000000</v>
      </c>
      <c r="I24" s="4">
        <f t="shared" si="1"/>
        <v>9382202.3047375046</v>
      </c>
      <c r="J24" s="3">
        <v>210000000000</v>
      </c>
      <c r="K24" s="4">
        <f t="shared" si="2"/>
        <v>7.4300844883289363E-2</v>
      </c>
      <c r="L24" s="6">
        <f t="shared" si="3"/>
        <v>1.4860168976657873</v>
      </c>
      <c r="M24" s="4">
        <f t="shared" si="4"/>
        <v>7335087.9356386373</v>
      </c>
      <c r="N24" s="4">
        <f t="shared" si="5"/>
        <v>733508793.56386375</v>
      </c>
      <c r="O24" s="4">
        <f t="shared" si="6"/>
        <v>97801172475.181839</v>
      </c>
      <c r="P24" s="4">
        <f t="shared" si="7"/>
        <v>-7335087935.6386375</v>
      </c>
      <c r="Q24" s="4">
        <f t="shared" si="10"/>
        <v>56282252.093601108</v>
      </c>
      <c r="R24" s="4">
        <f t="shared" si="11"/>
        <v>7504300279.1468201</v>
      </c>
      <c r="S24" s="4">
        <f t="shared" si="12"/>
        <v>-562822520.93601131</v>
      </c>
      <c r="T24" s="3"/>
      <c r="U24" s="4">
        <f t="shared" si="8"/>
        <v>24393725.992317513</v>
      </c>
      <c r="V24">
        <f t="shared" si="9"/>
        <v>500160050515.12274</v>
      </c>
      <c r="W24" s="7">
        <v>2.8000000000000004E-2</v>
      </c>
    </row>
    <row r="25" spans="1:23" x14ac:dyDescent="0.5">
      <c r="A25" s="3">
        <v>0</v>
      </c>
      <c r="B25" s="3">
        <v>0.581306017925736</v>
      </c>
      <c r="C25" s="3">
        <v>5</v>
      </c>
      <c r="D25" s="3">
        <v>20</v>
      </c>
      <c r="E25" s="3">
        <v>0.05</v>
      </c>
      <c r="F25" s="3">
        <f t="shared" si="0"/>
        <v>2.3817145262624893</v>
      </c>
      <c r="G25" s="5">
        <v>0.3</v>
      </c>
      <c r="H25" s="4">
        <v>15000000</v>
      </c>
      <c r="I25" s="4">
        <f t="shared" si="1"/>
        <v>8719590.268886039</v>
      </c>
      <c r="J25" s="3">
        <v>210000000000</v>
      </c>
      <c r="K25" s="4">
        <f t="shared" si="2"/>
        <v>7.4300844883289363E-2</v>
      </c>
      <c r="L25" s="6">
        <f t="shared" si="3"/>
        <v>1.4860168976657873</v>
      </c>
      <c r="M25" s="4">
        <f t="shared" si="4"/>
        <v>6775570.7299015149</v>
      </c>
      <c r="N25" s="4">
        <f t="shared" si="5"/>
        <v>677557072.99015152</v>
      </c>
      <c r="O25" s="4">
        <f t="shared" si="6"/>
        <v>90340943065.353531</v>
      </c>
      <c r="P25" s="4">
        <f t="shared" si="7"/>
        <v>-6775570729.901515</v>
      </c>
      <c r="Q25" s="4">
        <f t="shared" si="10"/>
        <v>55951720.57371223</v>
      </c>
      <c r="R25" s="4">
        <f t="shared" si="11"/>
        <v>7460229409.8283081</v>
      </c>
      <c r="S25" s="4">
        <f t="shared" si="12"/>
        <v>-559517205.73712254</v>
      </c>
      <c r="T25" s="3"/>
      <c r="U25" s="4">
        <f t="shared" si="8"/>
        <v>22670934.699103702</v>
      </c>
      <c r="V25">
        <f t="shared" si="9"/>
        <v>500160050515.12274</v>
      </c>
      <c r="W25" s="7">
        <v>3.7000000000000005E-2</v>
      </c>
    </row>
    <row r="26" spans="1:23" x14ac:dyDescent="0.5">
      <c r="A26" s="3">
        <v>0</v>
      </c>
      <c r="B26" s="3">
        <v>0.53329065300896195</v>
      </c>
      <c r="C26" s="3">
        <v>5</v>
      </c>
      <c r="D26" s="3">
        <v>20</v>
      </c>
      <c r="E26" s="3">
        <v>0.05</v>
      </c>
      <c r="F26" s="3">
        <f t="shared" si="0"/>
        <v>2.3817145262624893</v>
      </c>
      <c r="G26" s="5">
        <v>0.3</v>
      </c>
      <c r="H26" s="4">
        <v>15000000</v>
      </c>
      <c r="I26" s="4">
        <f t="shared" si="1"/>
        <v>7999359.7951344289</v>
      </c>
      <c r="J26" s="3">
        <v>210000000000</v>
      </c>
      <c r="K26" s="4">
        <f t="shared" si="2"/>
        <v>7.4300844883289363E-2</v>
      </c>
      <c r="L26" s="6">
        <f t="shared" si="3"/>
        <v>1.4860168976657873</v>
      </c>
      <c r="M26" s="4">
        <f t="shared" si="4"/>
        <v>6171418.0376000945</v>
      </c>
      <c r="N26" s="4">
        <f t="shared" si="5"/>
        <v>617141803.76000941</v>
      </c>
      <c r="O26" s="4">
        <f t="shared" si="6"/>
        <v>82285573834.667923</v>
      </c>
      <c r="P26" s="4">
        <f t="shared" si="7"/>
        <v>-6171418037.6000938</v>
      </c>
      <c r="Q26" s="4">
        <f t="shared" si="10"/>
        <v>60415269.230142117</v>
      </c>
      <c r="R26" s="4">
        <f t="shared" si="11"/>
        <v>8055369230.6856079</v>
      </c>
      <c r="S26" s="4">
        <f t="shared" si="12"/>
        <v>-604152692.30142117</v>
      </c>
      <c r="T26" s="3"/>
      <c r="U26" s="4">
        <f t="shared" si="8"/>
        <v>20798335.467349514</v>
      </c>
      <c r="V26">
        <f t="shared" si="9"/>
        <v>500160050515.12274</v>
      </c>
      <c r="W26" s="7">
        <v>4.6000000000000006E-2</v>
      </c>
    </row>
    <row r="27" spans="1:23" x14ac:dyDescent="0.5">
      <c r="A27" s="3">
        <v>0</v>
      </c>
      <c r="B27" s="3">
        <v>0.485915492957746</v>
      </c>
      <c r="C27" s="3">
        <v>5</v>
      </c>
      <c r="D27" s="3">
        <v>20</v>
      </c>
      <c r="E27" s="3">
        <v>0.05</v>
      </c>
      <c r="F27" s="3">
        <f t="shared" si="0"/>
        <v>2.3817145262624893</v>
      </c>
      <c r="G27" s="5">
        <v>0.3</v>
      </c>
      <c r="H27" s="4">
        <v>15000000</v>
      </c>
      <c r="I27" s="4">
        <f t="shared" si="1"/>
        <v>7288732.3943661898</v>
      </c>
      <c r="J27" s="3">
        <v>210000000000</v>
      </c>
      <c r="K27" s="4">
        <f t="shared" si="2"/>
        <v>7.4300844883289363E-2</v>
      </c>
      <c r="L27" s="6">
        <f t="shared" si="3"/>
        <v>1.4860168976657873</v>
      </c>
      <c r="M27" s="4">
        <f t="shared" si="4"/>
        <v>5579750.8181697875</v>
      </c>
      <c r="N27" s="4">
        <f t="shared" si="5"/>
        <v>557975081.81697869</v>
      </c>
      <c r="O27" s="4">
        <f t="shared" si="6"/>
        <v>74396677575.597168</v>
      </c>
      <c r="P27" s="4">
        <f t="shared" si="7"/>
        <v>-5579750818.1697874</v>
      </c>
      <c r="Q27" s="4">
        <f t="shared" si="10"/>
        <v>59166721.943030715</v>
      </c>
      <c r="R27" s="4">
        <f t="shared" si="11"/>
        <v>7888896259.070755</v>
      </c>
      <c r="S27" s="4">
        <f t="shared" si="12"/>
        <v>-591667219.43030643</v>
      </c>
      <c r="T27" s="3"/>
      <c r="U27" s="4">
        <f t="shared" si="8"/>
        <v>18950704.225352094</v>
      </c>
      <c r="V27">
        <f t="shared" si="9"/>
        <v>500160050515.12274</v>
      </c>
      <c r="W27" s="7">
        <v>5.5000000000000007E-2</v>
      </c>
    </row>
    <row r="28" spans="1:23" x14ac:dyDescent="0.5">
      <c r="A28" s="3">
        <v>0</v>
      </c>
      <c r="B28" s="3">
        <v>0.43405889884763099</v>
      </c>
      <c r="C28" s="3">
        <v>5</v>
      </c>
      <c r="D28" s="3">
        <v>20</v>
      </c>
      <c r="E28" s="3">
        <v>0.05</v>
      </c>
      <c r="F28" s="3">
        <f t="shared" si="0"/>
        <v>2.3817145262624893</v>
      </c>
      <c r="G28" s="5">
        <v>0.3</v>
      </c>
      <c r="H28" s="4">
        <v>15000000</v>
      </c>
      <c r="I28" s="4">
        <f t="shared" si="1"/>
        <v>6510883.4827144649</v>
      </c>
      <c r="J28" s="3">
        <v>210000000000</v>
      </c>
      <c r="K28" s="4">
        <f t="shared" si="2"/>
        <v>7.4300844883289363E-2</v>
      </c>
      <c r="L28" s="6">
        <f t="shared" si="3"/>
        <v>1.4860168976657873</v>
      </c>
      <c r="M28" s="4">
        <f t="shared" si="4"/>
        <v>4937628.1726644374</v>
      </c>
      <c r="N28" s="4">
        <f t="shared" si="5"/>
        <v>493762817.26644373</v>
      </c>
      <c r="O28" s="4">
        <f t="shared" si="6"/>
        <v>65835042302.192497</v>
      </c>
      <c r="P28" s="4">
        <f t="shared" si="7"/>
        <v>-4937628172.6644373</v>
      </c>
      <c r="Q28" s="4">
        <f t="shared" si="10"/>
        <v>64212264.550534964</v>
      </c>
      <c r="R28" s="4">
        <f t="shared" si="11"/>
        <v>8561635273.4046707</v>
      </c>
      <c r="S28" s="4">
        <f t="shared" si="12"/>
        <v>-642122645.50535011</v>
      </c>
      <c r="T28" s="3"/>
      <c r="U28" s="4">
        <f t="shared" si="8"/>
        <v>16928297.055057608</v>
      </c>
      <c r="V28">
        <f t="shared" si="9"/>
        <v>500160050515.12274</v>
      </c>
      <c r="W28" s="7">
        <v>6.4000000000000001E-2</v>
      </c>
    </row>
    <row r="29" spans="1:23" x14ac:dyDescent="0.5">
      <c r="A29" s="3">
        <v>0</v>
      </c>
      <c r="B29" s="3">
        <v>0.386043533930858</v>
      </c>
      <c r="C29" s="3">
        <v>5</v>
      </c>
      <c r="D29" s="3">
        <v>20</v>
      </c>
      <c r="E29" s="3">
        <v>0.05</v>
      </c>
      <c r="F29" s="3">
        <f t="shared" si="0"/>
        <v>2.3817145262624893</v>
      </c>
      <c r="G29" s="5">
        <v>0.3</v>
      </c>
      <c r="H29" s="4">
        <v>15000000</v>
      </c>
      <c r="I29" s="4">
        <f t="shared" si="1"/>
        <v>5790653.0089628696</v>
      </c>
      <c r="J29" s="3">
        <v>210000000000</v>
      </c>
      <c r="K29" s="4">
        <f t="shared" si="2"/>
        <v>7.4300844883289363E-2</v>
      </c>
      <c r="L29" s="6">
        <f t="shared" si="3"/>
        <v>1.4860168976657873</v>
      </c>
      <c r="M29" s="4">
        <f t="shared" si="4"/>
        <v>4348738.5886599878</v>
      </c>
      <c r="N29" s="4">
        <f t="shared" si="5"/>
        <v>434873858.86599874</v>
      </c>
      <c r="O29" s="4">
        <f t="shared" si="6"/>
        <v>57983181182.133171</v>
      </c>
      <c r="P29" s="4">
        <f t="shared" si="7"/>
        <v>-4348738588.6599874</v>
      </c>
      <c r="Q29" s="4">
        <f t="shared" si="10"/>
        <v>58888958.400444984</v>
      </c>
      <c r="R29" s="4">
        <f t="shared" si="11"/>
        <v>7851861120.0593262</v>
      </c>
      <c r="S29" s="4">
        <f t="shared" si="12"/>
        <v>-588889584.00444984</v>
      </c>
      <c r="T29" s="3"/>
      <c r="U29" s="4">
        <f t="shared" si="8"/>
        <v>15055697.823303461</v>
      </c>
      <c r="V29">
        <f t="shared" si="9"/>
        <v>500160050515.12274</v>
      </c>
      <c r="W29" s="7">
        <v>7.3000000000000009E-2</v>
      </c>
    </row>
    <row r="30" spans="1:23" x14ac:dyDescent="0.5">
      <c r="A30" s="3">
        <v>0</v>
      </c>
      <c r="B30" s="3">
        <v>0.33994878361075498</v>
      </c>
      <c r="C30" s="3">
        <v>5</v>
      </c>
      <c r="D30" s="3">
        <v>20</v>
      </c>
      <c r="E30" s="3">
        <v>0.05</v>
      </c>
      <c r="F30" s="3">
        <f t="shared" si="0"/>
        <v>2.3817145262624893</v>
      </c>
      <c r="G30" s="5">
        <v>0.3</v>
      </c>
      <c r="H30" s="4">
        <v>15000000</v>
      </c>
      <c r="I30" s="4">
        <f t="shared" si="1"/>
        <v>5099231.7541613244</v>
      </c>
      <c r="J30" s="3">
        <v>210000000000</v>
      </c>
      <c r="K30" s="4">
        <f t="shared" si="2"/>
        <v>7.4300844883289363E-2</v>
      </c>
      <c r="L30" s="6">
        <f t="shared" si="3"/>
        <v>1.4860168976657873</v>
      </c>
      <c r="M30" s="4">
        <f t="shared" si="4"/>
        <v>3789122.2020875355</v>
      </c>
      <c r="N30" s="4">
        <f t="shared" si="5"/>
        <v>378912220.20875359</v>
      </c>
      <c r="O30" s="4">
        <f t="shared" si="6"/>
        <v>50521629361.167145</v>
      </c>
      <c r="P30" s="4">
        <f t="shared" si="7"/>
        <v>-3789122202.0875359</v>
      </c>
      <c r="Q30" s="4">
        <f t="shared" si="10"/>
        <v>55961638.657245159</v>
      </c>
      <c r="R30" s="4">
        <f t="shared" si="11"/>
        <v>7461551820.9660263</v>
      </c>
      <c r="S30" s="4">
        <f t="shared" si="12"/>
        <v>-559616386.57245159</v>
      </c>
      <c r="T30" s="3"/>
      <c r="U30" s="4">
        <f t="shared" si="8"/>
        <v>13258002.560819443</v>
      </c>
      <c r="V30">
        <f t="shared" si="9"/>
        <v>500160050515.12274</v>
      </c>
      <c r="W30" s="7">
        <v>8.2000000000000017E-2</v>
      </c>
    </row>
    <row r="31" spans="1:23" x14ac:dyDescent="0.5">
      <c r="A31" s="3">
        <v>0</v>
      </c>
      <c r="B31" s="3">
        <v>0.29577464788732399</v>
      </c>
      <c r="C31" s="3">
        <v>5</v>
      </c>
      <c r="D31" s="3">
        <v>20</v>
      </c>
      <c r="E31" s="3">
        <v>0.05</v>
      </c>
      <c r="F31" s="3">
        <f t="shared" si="0"/>
        <v>2.3817145262624893</v>
      </c>
      <c r="G31" s="5">
        <v>0.3</v>
      </c>
      <c r="H31" s="4">
        <v>15000000</v>
      </c>
      <c r="I31" s="4">
        <f t="shared" si="1"/>
        <v>4436619.7183098597</v>
      </c>
      <c r="J31" s="3">
        <v>210000000000</v>
      </c>
      <c r="K31" s="4">
        <f t="shared" si="2"/>
        <v>7.4300844883289363E-2</v>
      </c>
      <c r="L31" s="6">
        <f t="shared" si="3"/>
        <v>1.4860168976657873</v>
      </c>
      <c r="M31" s="4">
        <f t="shared" si="4"/>
        <v>3258729.8155230754</v>
      </c>
      <c r="N31" s="4">
        <f t="shared" si="5"/>
        <v>325872981.55230755</v>
      </c>
      <c r="O31" s="4">
        <f t="shared" si="6"/>
        <v>43449730873.641006</v>
      </c>
      <c r="P31" s="4">
        <f t="shared" si="7"/>
        <v>-3258729815.5230751</v>
      </c>
      <c r="Q31" s="4">
        <f t="shared" si="10"/>
        <v>53039238.65644604</v>
      </c>
      <c r="R31" s="4">
        <f t="shared" si="11"/>
        <v>7071898487.5261383</v>
      </c>
      <c r="S31" s="4">
        <f t="shared" si="12"/>
        <v>-530392386.56446075</v>
      </c>
      <c r="T31" s="3"/>
      <c r="U31" s="4">
        <f t="shared" si="8"/>
        <v>11535211.267605636</v>
      </c>
      <c r="V31">
        <f t="shared" si="9"/>
        <v>500160050515.12274</v>
      </c>
      <c r="W31" s="7">
        <v>9.1000000000000025E-2</v>
      </c>
    </row>
    <row r="32" spans="1:23" x14ac:dyDescent="0.5">
      <c r="A32" s="3">
        <v>0</v>
      </c>
      <c r="B32" s="3">
        <v>0.25864276568501898</v>
      </c>
      <c r="C32" s="3">
        <v>5</v>
      </c>
      <c r="D32" s="3">
        <v>20</v>
      </c>
      <c r="E32" s="3">
        <v>0.05</v>
      </c>
      <c r="F32" s="3">
        <f t="shared" si="0"/>
        <v>2.3817145262624893</v>
      </c>
      <c r="G32" s="5">
        <v>0.3</v>
      </c>
      <c r="H32" s="4">
        <v>15000000</v>
      </c>
      <c r="I32" s="4">
        <f t="shared" si="1"/>
        <v>3879641.4852752849</v>
      </c>
      <c r="J32" s="3">
        <v>210000000000</v>
      </c>
      <c r="K32" s="4">
        <f t="shared" si="2"/>
        <v>7.4300844883289363E-2</v>
      </c>
      <c r="L32" s="6">
        <f t="shared" si="3"/>
        <v>1.4860168976657873</v>
      </c>
      <c r="M32" s="4">
        <f t="shared" si="4"/>
        <v>2817946.1709568137</v>
      </c>
      <c r="N32" s="4">
        <f t="shared" si="5"/>
        <v>281794617.09568137</v>
      </c>
      <c r="O32" s="4">
        <f t="shared" si="6"/>
        <v>37572615612.757515</v>
      </c>
      <c r="P32" s="4">
        <f t="shared" si="7"/>
        <v>-2817946170.9568133</v>
      </c>
      <c r="Q32" s="4">
        <f t="shared" si="10"/>
        <v>44078364.456626177</v>
      </c>
      <c r="R32" s="4">
        <f t="shared" si="11"/>
        <v>5877115260.8834915</v>
      </c>
      <c r="S32" s="4">
        <f t="shared" si="12"/>
        <v>-440783644.56626177</v>
      </c>
      <c r="T32" s="3"/>
      <c r="U32" s="4">
        <f t="shared" si="8"/>
        <v>10087067.861715741</v>
      </c>
      <c r="V32">
        <f t="shared" si="9"/>
        <v>500160050515.12274</v>
      </c>
      <c r="W32" s="7">
        <v>0.10000000000000003</v>
      </c>
    </row>
    <row r="33" spans="1:23" x14ac:dyDescent="0.5">
      <c r="A33" s="3">
        <v>0</v>
      </c>
      <c r="B33" s="3">
        <v>0.21959026888604299</v>
      </c>
      <c r="C33" s="3">
        <v>5</v>
      </c>
      <c r="D33" s="3">
        <v>20</v>
      </c>
      <c r="E33" s="3">
        <v>0.05</v>
      </c>
      <c r="F33" s="3">
        <f t="shared" si="0"/>
        <v>2.3817145262624893</v>
      </c>
      <c r="G33" s="5">
        <v>0.3</v>
      </c>
      <c r="H33" s="4">
        <v>15000000</v>
      </c>
      <c r="I33" s="4">
        <f t="shared" si="1"/>
        <v>3293854.0332906451</v>
      </c>
      <c r="J33" s="3">
        <v>210000000000</v>
      </c>
      <c r="K33" s="4">
        <f t="shared" si="2"/>
        <v>7.4300844883289363E-2</v>
      </c>
      <c r="L33" s="6">
        <f t="shared" si="3"/>
        <v>1.4860168976657873</v>
      </c>
      <c r="M33" s="4">
        <f t="shared" si="4"/>
        <v>2360051.6665534996</v>
      </c>
      <c r="N33" s="4">
        <f t="shared" si="5"/>
        <v>236005166.65534997</v>
      </c>
      <c r="O33" s="4">
        <f t="shared" si="6"/>
        <v>31467355554.046661</v>
      </c>
      <c r="P33" s="4">
        <f t="shared" si="7"/>
        <v>-2360051666.5534997</v>
      </c>
      <c r="Q33" s="4">
        <f t="shared" si="10"/>
        <v>45789450.440331399</v>
      </c>
      <c r="R33" s="4">
        <f t="shared" si="11"/>
        <v>6105260058.7108536</v>
      </c>
      <c r="S33" s="4">
        <f t="shared" si="12"/>
        <v>-457894504.40331364</v>
      </c>
      <c r="T33" s="3"/>
      <c r="U33" s="4">
        <f t="shared" si="8"/>
        <v>8564020.4865556769</v>
      </c>
      <c r="V33">
        <f t="shared" si="9"/>
        <v>500160050515.12274</v>
      </c>
      <c r="W33" s="7">
        <v>0.19000000000000003</v>
      </c>
    </row>
    <row r="34" spans="1:23" x14ac:dyDescent="0.5">
      <c r="A34" s="3">
        <v>0</v>
      </c>
      <c r="B34" s="3">
        <v>0.18693982074263699</v>
      </c>
      <c r="C34" s="3">
        <v>5</v>
      </c>
      <c r="D34" s="3">
        <v>20</v>
      </c>
      <c r="E34" s="3">
        <v>0.05</v>
      </c>
      <c r="F34" s="3">
        <f t="shared" si="0"/>
        <v>2.3817145262624893</v>
      </c>
      <c r="G34" s="5">
        <v>0.3</v>
      </c>
      <c r="H34" s="4">
        <v>15000000</v>
      </c>
      <c r="I34" s="4">
        <f t="shared" si="1"/>
        <v>2804097.3111395547</v>
      </c>
      <c r="J34" s="3">
        <v>210000000000</v>
      </c>
      <c r="K34" s="4">
        <f t="shared" si="2"/>
        <v>7.4300844883289363E-2</v>
      </c>
      <c r="L34" s="6">
        <f t="shared" si="3"/>
        <v>1.4860168976657873</v>
      </c>
      <c r="M34" s="4">
        <f t="shared" si="4"/>
        <v>1982368.1117799466</v>
      </c>
      <c r="N34" s="4">
        <f t="shared" si="5"/>
        <v>198236811.17799464</v>
      </c>
      <c r="O34" s="4">
        <f t="shared" si="6"/>
        <v>26431574823.73262</v>
      </c>
      <c r="P34" s="4">
        <f t="shared" si="7"/>
        <v>-1982368111.7799466</v>
      </c>
      <c r="Q34" s="4">
        <f t="shared" si="10"/>
        <v>37768355.477355331</v>
      </c>
      <c r="R34" s="4">
        <f t="shared" si="11"/>
        <v>5035780730.3140411</v>
      </c>
      <c r="S34" s="4">
        <f t="shared" si="12"/>
        <v>-377683554.77355313</v>
      </c>
      <c r="T34" s="3"/>
      <c r="U34" s="4">
        <f t="shared" si="8"/>
        <v>7290653.0089628426</v>
      </c>
      <c r="V34">
        <f t="shared" si="9"/>
        <v>500160050515.12274</v>
      </c>
      <c r="W34" s="7">
        <v>0.28000000000000003</v>
      </c>
    </row>
    <row r="35" spans="1:23" x14ac:dyDescent="0.5">
      <c r="A35" s="3">
        <v>0</v>
      </c>
      <c r="B35" s="3">
        <v>0.15877080665813001</v>
      </c>
      <c r="C35" s="3">
        <v>5</v>
      </c>
      <c r="D35" s="3">
        <v>20</v>
      </c>
      <c r="E35" s="3">
        <v>0.05</v>
      </c>
      <c r="F35" s="3">
        <f t="shared" si="0"/>
        <v>2.3817145262624893</v>
      </c>
      <c r="G35" s="5">
        <v>0.3</v>
      </c>
      <c r="H35" s="4">
        <v>15000000</v>
      </c>
      <c r="I35" s="4">
        <f t="shared" si="1"/>
        <v>2381562.0998719502</v>
      </c>
      <c r="J35" s="3">
        <v>210000000000</v>
      </c>
      <c r="K35" s="4">
        <f t="shared" si="2"/>
        <v>7.4300844883289363E-2</v>
      </c>
      <c r="L35" s="6">
        <f t="shared" si="3"/>
        <v>1.4860168976657873</v>
      </c>
      <c r="M35" s="4">
        <f t="shared" si="4"/>
        <v>1660895.0912695213</v>
      </c>
      <c r="N35" s="4">
        <f t="shared" si="5"/>
        <v>166089509.12695211</v>
      </c>
      <c r="O35" s="4">
        <f t="shared" si="6"/>
        <v>22145267883.593616</v>
      </c>
      <c r="P35" s="4">
        <f t="shared" si="7"/>
        <v>-1660895091.2695212</v>
      </c>
      <c r="Q35" s="4">
        <f t="shared" si="10"/>
        <v>32147302.051042527</v>
      </c>
      <c r="R35" s="4">
        <f t="shared" si="11"/>
        <v>4286306940.1390038</v>
      </c>
      <c r="S35" s="4">
        <f t="shared" si="12"/>
        <v>-321473020.51042533</v>
      </c>
      <c r="T35" s="3"/>
      <c r="U35" s="4">
        <f t="shared" si="8"/>
        <v>6192061.4596670708</v>
      </c>
      <c r="V35">
        <f t="shared" si="9"/>
        <v>500160050515.12274</v>
      </c>
      <c r="W35" s="7">
        <v>0.37</v>
      </c>
    </row>
    <row r="36" spans="1:23" x14ac:dyDescent="0.5">
      <c r="A36" s="3">
        <v>0</v>
      </c>
      <c r="B36" s="3">
        <v>0.13124199743918</v>
      </c>
      <c r="C36" s="3">
        <v>5</v>
      </c>
      <c r="D36" s="3">
        <v>20</v>
      </c>
      <c r="E36" s="3">
        <v>0.05</v>
      </c>
      <c r="F36" s="3">
        <f t="shared" si="0"/>
        <v>2.3817145262624893</v>
      </c>
      <c r="G36" s="5">
        <v>0.3</v>
      </c>
      <c r="H36" s="4">
        <v>15000000</v>
      </c>
      <c r="I36" s="4">
        <f t="shared" si="1"/>
        <v>1968629.9615877001</v>
      </c>
      <c r="J36" s="3">
        <v>210000000000</v>
      </c>
      <c r="K36" s="4">
        <f t="shared" si="2"/>
        <v>7.4300844883289363E-2</v>
      </c>
      <c r="L36" s="6">
        <f t="shared" si="3"/>
        <v>1.4860168976657873</v>
      </c>
      <c r="M36" s="4">
        <f t="shared" si="4"/>
        <v>1351303.4849804782</v>
      </c>
      <c r="N36" s="4">
        <f t="shared" si="5"/>
        <v>135130348.49804783</v>
      </c>
      <c r="O36" s="4">
        <f t="shared" si="6"/>
        <v>18017379799.739708</v>
      </c>
      <c r="P36" s="4">
        <f t="shared" si="7"/>
        <v>-1351303484.980478</v>
      </c>
      <c r="Q36" s="4">
        <f t="shared" si="10"/>
        <v>30959160.628904283</v>
      </c>
      <c r="R36" s="4">
        <f t="shared" si="11"/>
        <v>4127888083.8539085</v>
      </c>
      <c r="S36" s="4">
        <f t="shared" si="12"/>
        <v>-309591606.28904319</v>
      </c>
      <c r="T36" s="3"/>
      <c r="U36" s="4">
        <f t="shared" si="8"/>
        <v>5118437.90012802</v>
      </c>
      <c r="V36">
        <f t="shared" si="9"/>
        <v>500160050515.12274</v>
      </c>
      <c r="W36" s="7">
        <v>0.45999999999999996</v>
      </c>
    </row>
    <row r="37" spans="1:23" x14ac:dyDescent="0.5">
      <c r="A37" s="3">
        <v>0</v>
      </c>
      <c r="B37" s="3">
        <v>0.106914212548015</v>
      </c>
      <c r="C37" s="3">
        <v>5</v>
      </c>
      <c r="D37" s="3">
        <v>20</v>
      </c>
      <c r="E37" s="3">
        <v>0.05</v>
      </c>
      <c r="F37" s="3">
        <f t="shared" si="0"/>
        <v>2.3817145262624893</v>
      </c>
      <c r="G37" s="5">
        <v>0.3</v>
      </c>
      <c r="H37" s="4">
        <v>15000000</v>
      </c>
      <c r="I37" s="4">
        <f t="shared" si="1"/>
        <v>1603713.188220225</v>
      </c>
      <c r="J37" s="3">
        <v>210000000000</v>
      </c>
      <c r="K37" s="4">
        <f t="shared" si="2"/>
        <v>7.4300844883289363E-2</v>
      </c>
      <c r="L37" s="6">
        <f t="shared" si="3"/>
        <v>1.4860168976657873</v>
      </c>
      <c r="M37" s="4">
        <f t="shared" si="4"/>
        <v>1082170.583534935</v>
      </c>
      <c r="N37" s="4">
        <f t="shared" si="5"/>
        <v>108217058.35349351</v>
      </c>
      <c r="O37" s="4">
        <f t="shared" si="6"/>
        <v>14428941113.799135</v>
      </c>
      <c r="P37" s="4">
        <f t="shared" si="7"/>
        <v>-1082170583.534935</v>
      </c>
      <c r="Q37" s="4">
        <f t="shared" si="10"/>
        <v>26913290.144554317</v>
      </c>
      <c r="R37" s="4">
        <f t="shared" si="11"/>
        <v>3588438685.9405727</v>
      </c>
      <c r="S37" s="4">
        <f t="shared" si="12"/>
        <v>-269132901.44554305</v>
      </c>
      <c r="T37" s="3"/>
      <c r="U37" s="4">
        <f t="shared" si="8"/>
        <v>4169654.2893725852</v>
      </c>
      <c r="V37">
        <f t="shared" si="9"/>
        <v>500160050515.12274</v>
      </c>
      <c r="W37" s="7">
        <v>0.54999999999999993</v>
      </c>
    </row>
    <row r="38" spans="1:23" x14ac:dyDescent="0.5">
      <c r="A38" s="3">
        <v>0</v>
      </c>
      <c r="B38" s="3">
        <v>8.5787451984635096E-2</v>
      </c>
      <c r="C38" s="3">
        <v>5</v>
      </c>
      <c r="D38" s="3">
        <v>20</v>
      </c>
      <c r="E38" s="3">
        <v>0.05</v>
      </c>
      <c r="F38" s="3">
        <f t="shared" si="0"/>
        <v>2.3817145262624893</v>
      </c>
      <c r="G38" s="5">
        <v>0.3</v>
      </c>
      <c r="H38" s="4">
        <v>15000000</v>
      </c>
      <c r="I38" s="4">
        <f t="shared" si="1"/>
        <v>1286811.7797695266</v>
      </c>
      <c r="J38" s="3">
        <v>210000000000</v>
      </c>
      <c r="K38" s="4">
        <f t="shared" si="2"/>
        <v>7.4300844883289363E-2</v>
      </c>
      <c r="L38" s="6">
        <f t="shared" si="3"/>
        <v>1.4860168976657873</v>
      </c>
      <c r="M38" s="4">
        <f t="shared" si="4"/>
        <v>852543.23428126273</v>
      </c>
      <c r="N38" s="4">
        <f t="shared" si="5"/>
        <v>85254323.428126276</v>
      </c>
      <c r="O38" s="4">
        <f t="shared" si="6"/>
        <v>11367243123.75017</v>
      </c>
      <c r="P38" s="4">
        <f t="shared" si="7"/>
        <v>-852543234.28126276</v>
      </c>
      <c r="Q38" s="4">
        <f t="shared" si="10"/>
        <v>22962734.925367236</v>
      </c>
      <c r="R38" s="4">
        <f t="shared" si="11"/>
        <v>3061697990.0489655</v>
      </c>
      <c r="S38" s="4">
        <f t="shared" si="12"/>
        <v>-229627349.25367224</v>
      </c>
      <c r="T38" s="3"/>
      <c r="U38" s="4">
        <f t="shared" si="8"/>
        <v>3345710.6274007694</v>
      </c>
      <c r="V38">
        <f t="shared" si="9"/>
        <v>500160050515.12274</v>
      </c>
      <c r="W38" s="7">
        <v>0.6399999999999999</v>
      </c>
    </row>
    <row r="39" spans="1:23" x14ac:dyDescent="0.5">
      <c r="A39" s="3">
        <v>0</v>
      </c>
      <c r="B39" s="3">
        <v>6.8501920614596701E-2</v>
      </c>
      <c r="C39" s="3">
        <v>5</v>
      </c>
      <c r="D39" s="3">
        <v>20</v>
      </c>
      <c r="E39" s="3">
        <v>0.05</v>
      </c>
      <c r="F39" s="3">
        <f t="shared" si="0"/>
        <v>2.3817145262624893</v>
      </c>
      <c r="G39" s="5">
        <v>0.3</v>
      </c>
      <c r="H39" s="4">
        <v>15000000</v>
      </c>
      <c r="I39" s="4">
        <f t="shared" si="1"/>
        <v>1027528.8092189506</v>
      </c>
      <c r="J39" s="3">
        <v>210000000000</v>
      </c>
      <c r="K39" s="4">
        <f t="shared" si="2"/>
        <v>7.4300844883289363E-2</v>
      </c>
      <c r="L39" s="6">
        <f t="shared" si="3"/>
        <v>1.4860168976657873</v>
      </c>
      <c r="M39" s="4">
        <f t="shared" si="4"/>
        <v>668116.15509381064</v>
      </c>
      <c r="N39" s="4">
        <f t="shared" si="5"/>
        <v>66811615.509381063</v>
      </c>
      <c r="O39" s="4">
        <f t="shared" si="6"/>
        <v>8908215401.2508087</v>
      </c>
      <c r="P39" s="4">
        <f t="shared" si="7"/>
        <v>-668116155.09381056</v>
      </c>
      <c r="Q39" s="4">
        <f t="shared" si="10"/>
        <v>18442707.918745212</v>
      </c>
      <c r="R39" s="4">
        <f t="shared" si="11"/>
        <v>2459027722.499361</v>
      </c>
      <c r="S39" s="4">
        <f t="shared" si="12"/>
        <v>-184427079.1874522</v>
      </c>
      <c r="T39" s="3"/>
      <c r="U39" s="4">
        <f t="shared" si="8"/>
        <v>2671574.9039692716</v>
      </c>
      <c r="V39">
        <f t="shared" si="9"/>
        <v>500160050515.12274</v>
      </c>
      <c r="W39" s="7">
        <v>0.72999999999999987</v>
      </c>
    </row>
    <row r="40" spans="1:23" x14ac:dyDescent="0.5">
      <c r="A40" s="3">
        <v>0</v>
      </c>
      <c r="B40" s="3">
        <v>4.9935979513444299E-2</v>
      </c>
      <c r="C40" s="3">
        <v>5</v>
      </c>
      <c r="D40" s="3">
        <v>20</v>
      </c>
      <c r="E40" s="3">
        <v>0.05</v>
      </c>
      <c r="F40" s="3">
        <f t="shared" si="0"/>
        <v>2.3817145262624893</v>
      </c>
      <c r="G40" s="5">
        <v>0.3</v>
      </c>
      <c r="H40" s="4">
        <v>15000000</v>
      </c>
      <c r="I40" s="4">
        <f t="shared" si="1"/>
        <v>749039.69270166452</v>
      </c>
      <c r="J40" s="3">
        <v>210000000000</v>
      </c>
      <c r="K40" s="4">
        <f t="shared" si="2"/>
        <v>7.4300844883289363E-2</v>
      </c>
      <c r="L40" s="6">
        <f t="shared" si="3"/>
        <v>1.4860168976657873</v>
      </c>
      <c r="M40" s="4">
        <f t="shared" si="4"/>
        <v>474375.26251358207</v>
      </c>
      <c r="N40" s="4">
        <f t="shared" si="5"/>
        <v>47437526.251358204</v>
      </c>
      <c r="O40" s="4">
        <f t="shared" si="6"/>
        <v>6325003500.1810942</v>
      </c>
      <c r="P40" s="4">
        <f t="shared" si="7"/>
        <v>-474375262.51358205</v>
      </c>
      <c r="Q40" s="4">
        <f t="shared" si="10"/>
        <v>19374089.25802286</v>
      </c>
      <c r="R40" s="4">
        <f t="shared" si="11"/>
        <v>2583211901.0697145</v>
      </c>
      <c r="S40" s="4">
        <f t="shared" si="12"/>
        <v>-193740892.58022851</v>
      </c>
      <c r="T40" s="3"/>
      <c r="U40" s="4">
        <f t="shared" si="8"/>
        <v>1947503.2010243279</v>
      </c>
      <c r="V40">
        <f t="shared" si="9"/>
        <v>500160050515.12274</v>
      </c>
      <c r="W40" s="7">
        <v>0.81999999999999984</v>
      </c>
    </row>
    <row r="41" spans="1:23" x14ac:dyDescent="0.5">
      <c r="A41" s="3">
        <v>0</v>
      </c>
      <c r="B41" s="3">
        <v>3.5851472471190797E-2</v>
      </c>
      <c r="C41" s="3">
        <v>5</v>
      </c>
      <c r="D41" s="3">
        <v>20</v>
      </c>
      <c r="E41" s="3">
        <v>0.05</v>
      </c>
      <c r="F41" s="3">
        <f t="shared" si="0"/>
        <v>2.3817145262624893</v>
      </c>
      <c r="G41" s="5">
        <v>0.3</v>
      </c>
      <c r="H41" s="4">
        <v>15000000</v>
      </c>
      <c r="I41" s="4">
        <f t="shared" si="1"/>
        <v>537772.08706786192</v>
      </c>
      <c r="J41" s="3">
        <v>210000000000</v>
      </c>
      <c r="K41" s="4">
        <f t="shared" si="2"/>
        <v>7.4300844883289363E-2</v>
      </c>
      <c r="L41" s="6">
        <f t="shared" si="3"/>
        <v>1.4860168976657873</v>
      </c>
      <c r="M41" s="4">
        <f t="shared" si="4"/>
        <v>331301.37874588335</v>
      </c>
      <c r="N41" s="4">
        <f t="shared" si="5"/>
        <v>33130137.874588333</v>
      </c>
      <c r="O41" s="4">
        <f t="shared" si="6"/>
        <v>4417351716.6117773</v>
      </c>
      <c r="P41" s="4">
        <f t="shared" si="7"/>
        <v>-331301378.74588335</v>
      </c>
      <c r="Q41" s="4">
        <f t="shared" si="10"/>
        <v>14307388.376769871</v>
      </c>
      <c r="R41" s="4">
        <f t="shared" si="11"/>
        <v>1907651783.5693169</v>
      </c>
      <c r="S41" s="4">
        <f t="shared" si="12"/>
        <v>-143073883.76769871</v>
      </c>
      <c r="T41" s="3"/>
      <c r="U41" s="4">
        <f t="shared" si="8"/>
        <v>1398207.426376441</v>
      </c>
      <c r="V41">
        <f t="shared" si="9"/>
        <v>500160050515.12274</v>
      </c>
      <c r="W41" s="7">
        <v>0.90999999999999981</v>
      </c>
    </row>
    <row r="42" spans="1:23" x14ac:dyDescent="0.5">
      <c r="A42" s="3">
        <v>0</v>
      </c>
      <c r="B42" s="3">
        <v>2.4967989756722E-2</v>
      </c>
      <c r="C42" s="3">
        <v>5</v>
      </c>
      <c r="D42" s="3">
        <v>20</v>
      </c>
      <c r="E42" s="3">
        <v>0.05</v>
      </c>
      <c r="F42" s="3">
        <f t="shared" si="0"/>
        <v>2.3817145262624893</v>
      </c>
      <c r="G42" s="5">
        <v>0.3</v>
      </c>
      <c r="H42" s="4">
        <v>15000000</v>
      </c>
      <c r="I42" s="4">
        <f t="shared" si="1"/>
        <v>374519.84635082999</v>
      </c>
      <c r="J42" s="3">
        <v>210000000000</v>
      </c>
      <c r="K42" s="4">
        <f t="shared" si="2"/>
        <v>7.4300844883289363E-2</v>
      </c>
      <c r="L42" s="6">
        <f t="shared" si="3"/>
        <v>1.4860168976657873</v>
      </c>
      <c r="M42" s="4">
        <f t="shared" si="4"/>
        <v>223875.31242910115</v>
      </c>
      <c r="N42" s="4">
        <f t="shared" si="5"/>
        <v>22387531.242910117</v>
      </c>
      <c r="O42" s="4">
        <f t="shared" si="6"/>
        <v>2985004165.7213492</v>
      </c>
      <c r="P42" s="4">
        <f t="shared" si="7"/>
        <v>-223875312.42910117</v>
      </c>
      <c r="Q42" s="4">
        <f t="shared" si="10"/>
        <v>10742606.631678216</v>
      </c>
      <c r="R42" s="4">
        <f t="shared" si="11"/>
        <v>1432347550.8904281</v>
      </c>
      <c r="S42" s="4">
        <f t="shared" si="12"/>
        <v>-107426066.31678218</v>
      </c>
      <c r="T42" s="3"/>
      <c r="U42" s="4">
        <f t="shared" si="8"/>
        <v>973751.60051215801</v>
      </c>
      <c r="V42">
        <f t="shared" si="9"/>
        <v>500160050515.12274</v>
      </c>
      <c r="W42" s="7">
        <v>1</v>
      </c>
    </row>
    <row r="43" spans="1:23" x14ac:dyDescent="0.5">
      <c r="A43" s="3">
        <v>0</v>
      </c>
      <c r="B43" s="3">
        <v>2.4327785000000001E-2</v>
      </c>
      <c r="C43" s="3">
        <v>5</v>
      </c>
      <c r="D43" s="3">
        <v>20</v>
      </c>
      <c r="E43" s="3">
        <v>0.05</v>
      </c>
      <c r="F43" s="3">
        <f t="shared" si="0"/>
        <v>2.3817145262624893</v>
      </c>
      <c r="G43" s="5">
        <v>0.3</v>
      </c>
      <c r="H43" s="4">
        <v>15000000</v>
      </c>
      <c r="I43" s="4">
        <f t="shared" si="1"/>
        <v>364916.77500000002</v>
      </c>
      <c r="J43" s="3">
        <v>210000000000</v>
      </c>
      <c r="K43" s="4">
        <f t="shared" si="2"/>
        <v>7.4300844883289363E-2</v>
      </c>
      <c r="L43" s="6">
        <f t="shared" si="3"/>
        <v>1.4860168976657873</v>
      </c>
      <c r="M43" s="4">
        <f t="shared" si="4"/>
        <v>217663.25148156611</v>
      </c>
      <c r="N43" s="4">
        <f t="shared" si="5"/>
        <v>21766325.148156613</v>
      </c>
      <c r="O43" s="4">
        <f t="shared" si="6"/>
        <v>2902176686.4208813</v>
      </c>
      <c r="P43" s="4">
        <f t="shared" si="7"/>
        <v>-217663251.4815661</v>
      </c>
      <c r="Q43" s="4">
        <f t="shared" si="10"/>
        <v>621206.0947535038</v>
      </c>
      <c r="R43" s="4">
        <f t="shared" si="11"/>
        <v>82827479.300467968</v>
      </c>
      <c r="S43" s="4">
        <f t="shared" si="12"/>
        <v>-6212060.9475350678</v>
      </c>
      <c r="T43" s="3"/>
      <c r="U43" s="4">
        <f t="shared" si="8"/>
        <v>948783.61500000011</v>
      </c>
      <c r="V43">
        <f t="shared" si="9"/>
        <v>500160050515.12274</v>
      </c>
      <c r="W43" s="7">
        <v>1.9</v>
      </c>
    </row>
    <row r="44" spans="1:23" x14ac:dyDescent="0.5">
      <c r="A44" s="3">
        <v>0</v>
      </c>
      <c r="B44" s="3">
        <v>2.1126761000000001E-2</v>
      </c>
      <c r="C44" s="3">
        <v>5</v>
      </c>
      <c r="D44" s="3">
        <v>20</v>
      </c>
      <c r="E44" s="3">
        <v>0.05</v>
      </c>
      <c r="F44" s="3">
        <f t="shared" si="0"/>
        <v>2.3817145262624893</v>
      </c>
      <c r="G44" s="5">
        <v>0.3</v>
      </c>
      <c r="H44" s="4">
        <v>15000000</v>
      </c>
      <c r="I44" s="4">
        <f t="shared" si="1"/>
        <v>316901.41500000004</v>
      </c>
      <c r="J44" s="3">
        <v>210000000000</v>
      </c>
      <c r="K44" s="4">
        <f t="shared" si="2"/>
        <v>7.4300844883289363E-2</v>
      </c>
      <c r="L44" s="6">
        <f t="shared" si="3"/>
        <v>1.4860168976657873</v>
      </c>
      <c r="M44" s="4">
        <f t="shared" si="4"/>
        <v>186814.10283777933</v>
      </c>
      <c r="N44" s="4">
        <f t="shared" si="5"/>
        <v>18681410.283777934</v>
      </c>
      <c r="O44" s="4">
        <f t="shared" si="6"/>
        <v>2490854704.5037246</v>
      </c>
      <c r="P44" s="4">
        <f t="shared" si="7"/>
        <v>-186814102.83777931</v>
      </c>
      <c r="Q44" s="4">
        <f t="shared" si="10"/>
        <v>3084914.8643786795</v>
      </c>
      <c r="R44" s="4">
        <f t="shared" si="11"/>
        <v>411321981.9171567</v>
      </c>
      <c r="S44" s="4">
        <f t="shared" si="12"/>
        <v>-30849148.643786788</v>
      </c>
      <c r="T44" s="3"/>
      <c r="U44" s="4">
        <f t="shared" si="8"/>
        <v>823943.67900000012</v>
      </c>
      <c r="V44">
        <f t="shared" si="9"/>
        <v>500160050515.12274</v>
      </c>
      <c r="W44" s="7">
        <v>2.8</v>
      </c>
    </row>
    <row r="45" spans="1:23" x14ac:dyDescent="0.5">
      <c r="A45" s="3">
        <v>0</v>
      </c>
      <c r="B45" s="3">
        <v>1.8565940999999999E-2</v>
      </c>
      <c r="C45" s="3">
        <v>5</v>
      </c>
      <c r="D45" s="3">
        <v>20</v>
      </c>
      <c r="E45" s="3">
        <v>0.05</v>
      </c>
      <c r="F45" s="3">
        <f t="shared" si="0"/>
        <v>2.3817145262624893</v>
      </c>
      <c r="G45" s="5">
        <v>0.3</v>
      </c>
      <c r="H45" s="4">
        <v>15000000</v>
      </c>
      <c r="I45" s="4">
        <f t="shared" si="1"/>
        <v>278489.11499999999</v>
      </c>
      <c r="J45" s="3">
        <v>210000000000</v>
      </c>
      <c r="K45" s="4">
        <f t="shared" si="2"/>
        <v>7.4300844883289363E-2</v>
      </c>
      <c r="L45" s="6">
        <f t="shared" si="3"/>
        <v>1.4860168976657873</v>
      </c>
      <c r="M45" s="4">
        <f t="shared" si="4"/>
        <v>162411.72377814044</v>
      </c>
      <c r="N45" s="4">
        <f t="shared" si="5"/>
        <v>16241172.377814045</v>
      </c>
      <c r="O45" s="4">
        <f t="shared" si="6"/>
        <v>2165489650.375206</v>
      </c>
      <c r="P45" s="4">
        <f t="shared" si="7"/>
        <v>-162411723.77814046</v>
      </c>
      <c r="Q45" s="4">
        <f t="shared" si="10"/>
        <v>2440237.9059638884</v>
      </c>
      <c r="R45" s="4">
        <f t="shared" si="11"/>
        <v>325365054.12851858</v>
      </c>
      <c r="S45" s="4">
        <f t="shared" si="12"/>
        <v>-24402379.059638858</v>
      </c>
      <c r="T45" s="3"/>
      <c r="U45" s="4">
        <f t="shared" si="8"/>
        <v>724071.69900000002</v>
      </c>
      <c r="V45">
        <f t="shared" si="9"/>
        <v>500160050515.12274</v>
      </c>
      <c r="W45" s="7">
        <v>3.6999999999999997</v>
      </c>
    </row>
    <row r="46" spans="1:23" x14ac:dyDescent="0.5">
      <c r="A46" s="3">
        <v>5</v>
      </c>
      <c r="B46" s="5">
        <v>1</v>
      </c>
      <c r="C46" s="3">
        <v>5</v>
      </c>
      <c r="D46" s="3">
        <v>25</v>
      </c>
      <c r="E46" s="3">
        <v>0.05</v>
      </c>
      <c r="F46" s="3">
        <f t="shared" si="0"/>
        <v>2.3817145262624893</v>
      </c>
      <c r="G46" s="5">
        <v>0.3</v>
      </c>
      <c r="H46" s="4">
        <v>15000000</v>
      </c>
      <c r="I46" s="4">
        <f>B46*$H$46</f>
        <v>15000000</v>
      </c>
      <c r="J46" s="3">
        <v>210000000000</v>
      </c>
      <c r="K46" s="4">
        <f>(($M$46*C46)/(4*J46*F46))^(1/4)</f>
        <v>7.4300844883289363E-2</v>
      </c>
      <c r="L46" s="6">
        <f t="shared" si="3"/>
        <v>1.8575211220822341</v>
      </c>
      <c r="M46" s="4">
        <f t="shared" si="4"/>
        <v>12194780.734740067</v>
      </c>
      <c r="N46" s="4">
        <f t="shared" si="5"/>
        <v>1524347591.8425083</v>
      </c>
      <c r="O46" s="4">
        <f t="shared" si="6"/>
        <v>317572414967.18927</v>
      </c>
      <c r="P46" s="4">
        <f t="shared" si="7"/>
        <v>-19054344898.031353</v>
      </c>
      <c r="Q46" s="4">
        <f>N46</f>
        <v>1524347591.8425083</v>
      </c>
      <c r="R46" s="4">
        <f t="shared" ref="R46:S46" si="13">O46</f>
        <v>317572414967.18927</v>
      </c>
      <c r="S46" s="4">
        <f t="shared" si="13"/>
        <v>-19054344898.031353</v>
      </c>
      <c r="T46" s="3"/>
      <c r="U46" s="4">
        <f t="shared" si="8"/>
        <v>39000000</v>
      </c>
      <c r="V46">
        <f t="shared" si="9"/>
        <v>500160050515.12274</v>
      </c>
      <c r="W46" s="7">
        <v>1.0000000000000002E-4</v>
      </c>
    </row>
    <row r="47" spans="1:23" x14ac:dyDescent="0.5">
      <c r="A47" s="3">
        <v>5</v>
      </c>
      <c r="B47" s="5">
        <v>1</v>
      </c>
      <c r="C47" s="3">
        <v>5</v>
      </c>
      <c r="D47" s="3">
        <v>25</v>
      </c>
      <c r="E47" s="3">
        <v>0.05</v>
      </c>
      <c r="F47" s="3">
        <f t="shared" si="0"/>
        <v>2.3817145262624893</v>
      </c>
      <c r="G47" s="5">
        <v>0.3</v>
      </c>
      <c r="H47" s="4">
        <v>15000000</v>
      </c>
      <c r="I47" s="4">
        <f t="shared" ref="I47:I89" si="14">B47*$H$46</f>
        <v>15000000</v>
      </c>
      <c r="J47" s="3">
        <v>210000000000</v>
      </c>
      <c r="K47" s="4">
        <f t="shared" ref="K47:K89" si="15">(($M$46*C47)/(4*J47*F47))^(1/4)</f>
        <v>7.4300844883289363E-2</v>
      </c>
      <c r="L47" s="6">
        <f t="shared" si="3"/>
        <v>1.8575211220822341</v>
      </c>
      <c r="M47" s="4">
        <f t="shared" si="4"/>
        <v>12194780.734740067</v>
      </c>
      <c r="N47" s="4">
        <f t="shared" si="5"/>
        <v>1524347591.8425083</v>
      </c>
      <c r="O47" s="4">
        <f t="shared" si="6"/>
        <v>317572414967.18927</v>
      </c>
      <c r="P47" s="4">
        <f t="shared" si="7"/>
        <v>-19054344898.031353</v>
      </c>
      <c r="Q47" s="4">
        <f t="shared" si="10"/>
        <v>0</v>
      </c>
      <c r="R47" s="4">
        <f t="shared" si="11"/>
        <v>0</v>
      </c>
      <c r="S47" s="4">
        <f t="shared" si="12"/>
        <v>0</v>
      </c>
      <c r="T47" s="3"/>
      <c r="U47" s="4">
        <f t="shared" si="8"/>
        <v>39000000</v>
      </c>
      <c r="V47">
        <f t="shared" si="9"/>
        <v>500160050515.12274</v>
      </c>
      <c r="W47" s="7">
        <v>1.9000000000000001E-4</v>
      </c>
    </row>
    <row r="48" spans="1:23" x14ac:dyDescent="0.5">
      <c r="A48" s="3">
        <v>5</v>
      </c>
      <c r="B48" s="5">
        <v>1</v>
      </c>
      <c r="C48" s="3">
        <v>5</v>
      </c>
      <c r="D48" s="3">
        <v>25</v>
      </c>
      <c r="E48" s="3">
        <v>0.05</v>
      </c>
      <c r="F48" s="3">
        <f t="shared" si="0"/>
        <v>2.3817145262624893</v>
      </c>
      <c r="G48" s="5">
        <v>0.3</v>
      </c>
      <c r="H48" s="4">
        <v>15000000</v>
      </c>
      <c r="I48" s="4">
        <f t="shared" si="14"/>
        <v>15000000</v>
      </c>
      <c r="J48" s="3">
        <v>210000000000</v>
      </c>
      <c r="K48" s="4">
        <f t="shared" si="15"/>
        <v>7.4300844883289363E-2</v>
      </c>
      <c r="L48" s="6">
        <f t="shared" si="3"/>
        <v>1.8575211220822341</v>
      </c>
      <c r="M48" s="4">
        <f t="shared" si="4"/>
        <v>12194780.734740067</v>
      </c>
      <c r="N48" s="4">
        <f t="shared" si="5"/>
        <v>1524347591.8425083</v>
      </c>
      <c r="O48" s="4">
        <f t="shared" si="6"/>
        <v>317572414967.18927</v>
      </c>
      <c r="P48" s="4">
        <f t="shared" si="7"/>
        <v>-19054344898.031353</v>
      </c>
      <c r="Q48" s="4">
        <f t="shared" si="10"/>
        <v>0</v>
      </c>
      <c r="R48" s="4">
        <f t="shared" si="11"/>
        <v>0</v>
      </c>
      <c r="S48" s="4">
        <f t="shared" si="12"/>
        <v>0</v>
      </c>
      <c r="T48" s="3"/>
      <c r="U48" s="4">
        <f t="shared" si="8"/>
        <v>39000000</v>
      </c>
      <c r="V48">
        <f t="shared" si="9"/>
        <v>500160050515.12274</v>
      </c>
      <c r="W48" s="7">
        <v>2.8000000000000003E-4</v>
      </c>
    </row>
    <row r="49" spans="1:23" x14ac:dyDescent="0.5">
      <c r="A49" s="3">
        <v>5</v>
      </c>
      <c r="B49" s="5">
        <v>1</v>
      </c>
      <c r="C49" s="3">
        <v>5</v>
      </c>
      <c r="D49" s="3">
        <v>25</v>
      </c>
      <c r="E49" s="3">
        <v>0.05</v>
      </c>
      <c r="F49" s="3">
        <f t="shared" si="0"/>
        <v>2.3817145262624893</v>
      </c>
      <c r="G49" s="5">
        <v>0.3</v>
      </c>
      <c r="H49" s="4">
        <v>15000000</v>
      </c>
      <c r="I49" s="4">
        <f t="shared" si="14"/>
        <v>15000000</v>
      </c>
      <c r="J49" s="3">
        <v>210000000000</v>
      </c>
      <c r="K49" s="4">
        <f t="shared" si="15"/>
        <v>7.4300844883289363E-2</v>
      </c>
      <c r="L49" s="6">
        <f t="shared" si="3"/>
        <v>1.8575211220822341</v>
      </c>
      <c r="M49" s="4">
        <f t="shared" si="4"/>
        <v>12194780.734740067</v>
      </c>
      <c r="N49" s="4">
        <f t="shared" si="5"/>
        <v>1524347591.8425083</v>
      </c>
      <c r="O49" s="4">
        <f t="shared" si="6"/>
        <v>317572414967.18927</v>
      </c>
      <c r="P49" s="4">
        <f t="shared" si="7"/>
        <v>-19054344898.031353</v>
      </c>
      <c r="Q49" s="4">
        <f t="shared" si="10"/>
        <v>0</v>
      </c>
      <c r="R49" s="4">
        <f t="shared" si="11"/>
        <v>0</v>
      </c>
      <c r="S49" s="4">
        <f t="shared" si="12"/>
        <v>0</v>
      </c>
      <c r="T49" s="3"/>
      <c r="U49" s="4">
        <f t="shared" si="8"/>
        <v>39000000</v>
      </c>
      <c r="V49">
        <f t="shared" si="9"/>
        <v>500160050515.12274</v>
      </c>
      <c r="W49" s="7">
        <v>3.7000000000000005E-4</v>
      </c>
    </row>
    <row r="50" spans="1:23" x14ac:dyDescent="0.5">
      <c r="A50" s="3">
        <v>5</v>
      </c>
      <c r="B50" s="5">
        <v>1</v>
      </c>
      <c r="C50" s="3">
        <v>5</v>
      </c>
      <c r="D50" s="3">
        <v>25</v>
      </c>
      <c r="E50" s="3">
        <v>0.05</v>
      </c>
      <c r="F50" s="3">
        <f t="shared" si="0"/>
        <v>2.3817145262624893</v>
      </c>
      <c r="G50" s="5">
        <v>0.3</v>
      </c>
      <c r="H50" s="4">
        <v>15000000</v>
      </c>
      <c r="I50" s="4">
        <f t="shared" si="14"/>
        <v>15000000</v>
      </c>
      <c r="J50" s="3">
        <v>210000000000</v>
      </c>
      <c r="K50" s="4">
        <f t="shared" si="15"/>
        <v>7.4300844883289363E-2</v>
      </c>
      <c r="L50" s="6">
        <f t="shared" si="3"/>
        <v>1.8575211220822341</v>
      </c>
      <c r="M50" s="4">
        <f t="shared" si="4"/>
        <v>12194780.734740067</v>
      </c>
      <c r="N50" s="4">
        <f t="shared" si="5"/>
        <v>1524347591.8425083</v>
      </c>
      <c r="O50" s="4">
        <f t="shared" si="6"/>
        <v>317572414967.18927</v>
      </c>
      <c r="P50" s="4">
        <f t="shared" si="7"/>
        <v>-19054344898.031353</v>
      </c>
      <c r="Q50" s="4">
        <f t="shared" si="10"/>
        <v>0</v>
      </c>
      <c r="R50" s="4">
        <f t="shared" si="11"/>
        <v>0</v>
      </c>
      <c r="S50" s="4">
        <f t="shared" si="12"/>
        <v>0</v>
      </c>
      <c r="T50" s="3"/>
      <c r="U50" s="4">
        <f t="shared" si="8"/>
        <v>39000000</v>
      </c>
      <c r="V50">
        <f t="shared" si="9"/>
        <v>500160050515.12274</v>
      </c>
      <c r="W50" s="7">
        <v>4.6000000000000007E-4</v>
      </c>
    </row>
    <row r="51" spans="1:23" x14ac:dyDescent="0.5">
      <c r="A51" s="3">
        <v>5</v>
      </c>
      <c r="B51" s="5">
        <v>1</v>
      </c>
      <c r="C51" s="3">
        <v>5</v>
      </c>
      <c r="D51" s="3">
        <v>25</v>
      </c>
      <c r="E51" s="3">
        <v>0.05</v>
      </c>
      <c r="F51" s="3">
        <f t="shared" si="0"/>
        <v>2.3817145262624893</v>
      </c>
      <c r="G51" s="5">
        <v>0.3</v>
      </c>
      <c r="H51" s="4">
        <v>15000000</v>
      </c>
      <c r="I51" s="4">
        <f t="shared" si="14"/>
        <v>15000000</v>
      </c>
      <c r="J51" s="3">
        <v>210000000000</v>
      </c>
      <c r="K51" s="4">
        <f t="shared" si="15"/>
        <v>7.4300844883289363E-2</v>
      </c>
      <c r="L51" s="6">
        <f t="shared" si="3"/>
        <v>1.8575211220822341</v>
      </c>
      <c r="M51" s="4">
        <f t="shared" si="4"/>
        <v>12194780.734740067</v>
      </c>
      <c r="N51" s="4">
        <f t="shared" si="5"/>
        <v>1524347591.8425083</v>
      </c>
      <c r="O51" s="4">
        <f t="shared" si="6"/>
        <v>317572414967.18927</v>
      </c>
      <c r="P51" s="4">
        <f t="shared" si="7"/>
        <v>-19054344898.031353</v>
      </c>
      <c r="Q51" s="4">
        <f t="shared" si="10"/>
        <v>0</v>
      </c>
      <c r="R51" s="4">
        <f t="shared" si="11"/>
        <v>0</v>
      </c>
      <c r="S51" s="4">
        <f t="shared" si="12"/>
        <v>0</v>
      </c>
      <c r="T51" s="3"/>
      <c r="U51" s="4">
        <f t="shared" si="8"/>
        <v>39000000</v>
      </c>
      <c r="V51">
        <f t="shared" si="9"/>
        <v>500160050515.12274</v>
      </c>
      <c r="W51" s="7">
        <v>5.5000000000000003E-4</v>
      </c>
    </row>
    <row r="52" spans="1:23" x14ac:dyDescent="0.5">
      <c r="A52" s="3">
        <v>5</v>
      </c>
      <c r="B52" s="5">
        <v>1</v>
      </c>
      <c r="C52" s="3">
        <v>5</v>
      </c>
      <c r="D52" s="3">
        <v>25</v>
      </c>
      <c r="E52" s="3">
        <v>0.05</v>
      </c>
      <c r="F52" s="3">
        <f t="shared" si="0"/>
        <v>2.3817145262624893</v>
      </c>
      <c r="G52" s="5">
        <v>0.3</v>
      </c>
      <c r="H52" s="4">
        <v>15000000</v>
      </c>
      <c r="I52" s="4">
        <f t="shared" si="14"/>
        <v>15000000</v>
      </c>
      <c r="J52" s="3">
        <v>210000000000</v>
      </c>
      <c r="K52" s="4">
        <f t="shared" si="15"/>
        <v>7.4300844883289363E-2</v>
      </c>
      <c r="L52" s="6">
        <f t="shared" si="3"/>
        <v>1.8575211220822341</v>
      </c>
      <c r="M52" s="4">
        <f t="shared" si="4"/>
        <v>12194780.734740067</v>
      </c>
      <c r="N52" s="4">
        <f t="shared" si="5"/>
        <v>1524347591.8425083</v>
      </c>
      <c r="O52" s="4">
        <f t="shared" si="6"/>
        <v>317572414967.18927</v>
      </c>
      <c r="P52" s="4">
        <f t="shared" si="7"/>
        <v>-19054344898.031353</v>
      </c>
      <c r="Q52" s="4">
        <f t="shared" si="10"/>
        <v>0</v>
      </c>
      <c r="R52" s="4">
        <f t="shared" si="11"/>
        <v>0</v>
      </c>
      <c r="S52" s="4">
        <f t="shared" si="12"/>
        <v>0</v>
      </c>
      <c r="T52" s="3"/>
      <c r="U52" s="4">
        <f t="shared" si="8"/>
        <v>39000000</v>
      </c>
      <c r="V52">
        <f t="shared" si="9"/>
        <v>500160050515.12274</v>
      </c>
      <c r="W52" s="7">
        <v>6.4000000000000005E-4</v>
      </c>
    </row>
    <row r="53" spans="1:23" x14ac:dyDescent="0.5">
      <c r="A53" s="3">
        <v>5</v>
      </c>
      <c r="B53" s="5">
        <v>0.99658557405036263</v>
      </c>
      <c r="C53" s="3">
        <v>5</v>
      </c>
      <c r="D53" s="3">
        <v>25</v>
      </c>
      <c r="E53" s="3">
        <v>0.05</v>
      </c>
      <c r="F53" s="3">
        <f t="shared" si="0"/>
        <v>2.3817145262624893</v>
      </c>
      <c r="G53" s="5">
        <v>0.3</v>
      </c>
      <c r="H53" s="4">
        <v>15000000</v>
      </c>
      <c r="I53" s="4">
        <f t="shared" si="14"/>
        <v>14948783.61075544</v>
      </c>
      <c r="J53" s="3">
        <v>210000000000</v>
      </c>
      <c r="K53" s="4">
        <f t="shared" si="15"/>
        <v>7.4300844883289363E-2</v>
      </c>
      <c r="L53" s="6">
        <f t="shared" si="3"/>
        <v>1.8575211220822341</v>
      </c>
      <c r="M53" s="4">
        <f t="shared" si="4"/>
        <v>12149679.135089867</v>
      </c>
      <c r="N53" s="4">
        <f t="shared" si="5"/>
        <v>1518709891.8862333</v>
      </c>
      <c r="O53" s="4">
        <f t="shared" si="6"/>
        <v>316397894142.96527</v>
      </c>
      <c r="P53" s="4">
        <f t="shared" si="7"/>
        <v>-18983873648.577915</v>
      </c>
      <c r="Q53" s="4">
        <f t="shared" si="10"/>
        <v>5637699.9562749863</v>
      </c>
      <c r="R53" s="4">
        <f t="shared" si="11"/>
        <v>1174520824.223999</v>
      </c>
      <c r="S53" s="4">
        <f t="shared" si="12"/>
        <v>-70471249.453437805</v>
      </c>
      <c r="T53" s="3"/>
      <c r="U53" s="4">
        <f t="shared" si="8"/>
        <v>38866837.387964144</v>
      </c>
      <c r="V53">
        <f t="shared" si="9"/>
        <v>500160050515.12274</v>
      </c>
      <c r="W53" s="7">
        <v>7.3000000000000007E-4</v>
      </c>
    </row>
    <row r="54" spans="1:23" x14ac:dyDescent="0.5">
      <c r="A54" s="3">
        <v>5</v>
      </c>
      <c r="B54" s="5">
        <v>0.99146393512590669</v>
      </c>
      <c r="C54" s="3">
        <v>5</v>
      </c>
      <c r="D54" s="3">
        <v>25</v>
      </c>
      <c r="E54" s="3">
        <v>0.05</v>
      </c>
      <c r="F54" s="3">
        <f t="shared" si="0"/>
        <v>2.3817145262624893</v>
      </c>
      <c r="G54" s="5">
        <v>0.3</v>
      </c>
      <c r="H54" s="4">
        <v>15000000</v>
      </c>
      <c r="I54" s="4">
        <f t="shared" si="14"/>
        <v>14871959.0268886</v>
      </c>
      <c r="J54" s="3">
        <v>210000000000</v>
      </c>
      <c r="K54" s="4">
        <f t="shared" si="15"/>
        <v>7.4300844883289363E-2</v>
      </c>
      <c r="L54" s="6">
        <f t="shared" si="3"/>
        <v>1.8575211220822341</v>
      </c>
      <c r="M54" s="4">
        <f t="shared" si="4"/>
        <v>12082050.889206165</v>
      </c>
      <c r="N54" s="4">
        <f t="shared" si="5"/>
        <v>1510256361.1507707</v>
      </c>
      <c r="O54" s="4">
        <f t="shared" si="6"/>
        <v>314636741906.41058</v>
      </c>
      <c r="P54" s="4">
        <f t="shared" si="7"/>
        <v>-18878204514.384632</v>
      </c>
      <c r="Q54" s="4">
        <f t="shared" si="10"/>
        <v>8453530.7354626656</v>
      </c>
      <c r="R54" s="4">
        <f t="shared" si="11"/>
        <v>1761152236.5546875</v>
      </c>
      <c r="S54" s="4">
        <f t="shared" si="12"/>
        <v>-105669134.19328308</v>
      </c>
      <c r="T54" s="3"/>
      <c r="U54" s="4">
        <f t="shared" si="8"/>
        <v>38667093.469910361</v>
      </c>
      <c r="V54">
        <f t="shared" si="9"/>
        <v>500160050515.12274</v>
      </c>
      <c r="W54" s="7">
        <v>8.2000000000000009E-4</v>
      </c>
    </row>
    <row r="55" spans="1:23" x14ac:dyDescent="0.5">
      <c r="A55" s="3">
        <v>5</v>
      </c>
      <c r="B55" s="5">
        <v>0.98463508322663207</v>
      </c>
      <c r="C55" s="3">
        <v>5</v>
      </c>
      <c r="D55" s="3">
        <v>25</v>
      </c>
      <c r="E55" s="3">
        <v>0.05</v>
      </c>
      <c r="F55" s="3">
        <f t="shared" si="0"/>
        <v>2.3817145262624893</v>
      </c>
      <c r="G55" s="5">
        <v>0.3</v>
      </c>
      <c r="H55" s="4">
        <v>15000000</v>
      </c>
      <c r="I55" s="4">
        <f t="shared" si="14"/>
        <v>14769526.248399481</v>
      </c>
      <c r="J55" s="3">
        <v>210000000000</v>
      </c>
      <c r="K55" s="4">
        <f t="shared" si="15"/>
        <v>7.4300844883289363E-2</v>
      </c>
      <c r="L55" s="6">
        <f t="shared" si="3"/>
        <v>1.8575211220822341</v>
      </c>
      <c r="M55" s="4">
        <f t="shared" si="4"/>
        <v>11991925.195092114</v>
      </c>
      <c r="N55" s="4">
        <f t="shared" si="5"/>
        <v>1498990649.3865142</v>
      </c>
      <c r="O55" s="4">
        <f t="shared" si="6"/>
        <v>312289718622.19049</v>
      </c>
      <c r="P55" s="4">
        <f t="shared" si="7"/>
        <v>-18737383117.331429</v>
      </c>
      <c r="Q55" s="4">
        <f t="shared" si="10"/>
        <v>11265711.764256477</v>
      </c>
      <c r="R55" s="4">
        <f t="shared" si="11"/>
        <v>2347023284.2200928</v>
      </c>
      <c r="S55" s="4">
        <f t="shared" si="12"/>
        <v>-140821397.05320358</v>
      </c>
      <c r="T55" s="3"/>
      <c r="U55" s="4">
        <f t="shared" si="8"/>
        <v>38400768.24583865</v>
      </c>
      <c r="V55">
        <f t="shared" si="9"/>
        <v>500160050515.12274</v>
      </c>
      <c r="W55" s="7">
        <v>9.1000000000000011E-4</v>
      </c>
    </row>
    <row r="56" spans="1:23" x14ac:dyDescent="0.5">
      <c r="A56" s="3">
        <v>5</v>
      </c>
      <c r="B56" s="5">
        <v>0.97609901850661529</v>
      </c>
      <c r="C56" s="3">
        <v>5</v>
      </c>
      <c r="D56" s="3">
        <v>25</v>
      </c>
      <c r="E56" s="3">
        <v>0.05</v>
      </c>
      <c r="F56" s="3">
        <f t="shared" si="0"/>
        <v>2.3817145262624893</v>
      </c>
      <c r="G56" s="5">
        <v>0.3</v>
      </c>
      <c r="H56" s="4">
        <v>15000000</v>
      </c>
      <c r="I56" s="4">
        <f t="shared" si="14"/>
        <v>14641485.277599229</v>
      </c>
      <c r="J56" s="3">
        <v>210000000000</v>
      </c>
      <c r="K56" s="4">
        <f t="shared" si="15"/>
        <v>7.4300844883289363E-2</v>
      </c>
      <c r="L56" s="6">
        <f t="shared" si="3"/>
        <v>1.8575211220822341</v>
      </c>
      <c r="M56" s="4">
        <f t="shared" si="4"/>
        <v>11879341.346939316</v>
      </c>
      <c r="N56" s="4">
        <f t="shared" si="5"/>
        <v>1484917668.3674145</v>
      </c>
      <c r="O56" s="4">
        <f t="shared" si="6"/>
        <v>309357847576.54468</v>
      </c>
      <c r="P56" s="4">
        <f t="shared" si="7"/>
        <v>-18561470854.592682</v>
      </c>
      <c r="Q56" s="4">
        <f t="shared" si="10"/>
        <v>14072981.019099712</v>
      </c>
      <c r="R56" s="4">
        <f t="shared" si="11"/>
        <v>2931871045.645813</v>
      </c>
      <c r="S56" s="4">
        <f t="shared" si="12"/>
        <v>-175912262.73874664</v>
      </c>
      <c r="T56" s="3"/>
      <c r="U56" s="4">
        <f t="shared" si="8"/>
        <v>38067861.721757993</v>
      </c>
      <c r="V56">
        <f t="shared" si="9"/>
        <v>500160050515.12274</v>
      </c>
      <c r="W56" s="7">
        <v>1E-3</v>
      </c>
    </row>
    <row r="57" spans="1:23" x14ac:dyDescent="0.5">
      <c r="A57" s="3">
        <v>5</v>
      </c>
      <c r="B57" s="5">
        <v>0.96457533072215063</v>
      </c>
      <c r="C57" s="3">
        <v>5</v>
      </c>
      <c r="D57" s="3">
        <v>25</v>
      </c>
      <c r="E57" s="3">
        <v>0.05</v>
      </c>
      <c r="F57" s="3">
        <f t="shared" si="0"/>
        <v>2.3817145262624893</v>
      </c>
      <c r="G57" s="5">
        <v>0.3</v>
      </c>
      <c r="H57" s="4">
        <v>15000000</v>
      </c>
      <c r="I57" s="4">
        <f t="shared" si="14"/>
        <v>14468629.960832259</v>
      </c>
      <c r="J57" s="3">
        <v>210000000000</v>
      </c>
      <c r="K57" s="4">
        <f t="shared" si="15"/>
        <v>7.4300844883289363E-2</v>
      </c>
      <c r="L57" s="6">
        <f t="shared" si="3"/>
        <v>1.8575211220822341</v>
      </c>
      <c r="M57" s="4">
        <f t="shared" si="4"/>
        <v>11727483.3688903</v>
      </c>
      <c r="N57" s="4">
        <f t="shared" si="5"/>
        <v>1465935421.1112876</v>
      </c>
      <c r="O57" s="4">
        <f t="shared" si="6"/>
        <v>305403212731.51825</v>
      </c>
      <c r="P57" s="4">
        <f t="shared" si="7"/>
        <v>-18324192763.891094</v>
      </c>
      <c r="Q57" s="4">
        <f t="shared" si="10"/>
        <v>18982247.256126881</v>
      </c>
      <c r="R57" s="4">
        <f t="shared" si="11"/>
        <v>3954634845.0264282</v>
      </c>
      <c r="S57" s="4">
        <f t="shared" si="12"/>
        <v>-237278090.70158768</v>
      </c>
      <c r="T57" s="3"/>
      <c r="U57" s="4">
        <f t="shared" si="8"/>
        <v>37618437.898163877</v>
      </c>
      <c r="V57">
        <f t="shared" si="9"/>
        <v>500160050515.12274</v>
      </c>
      <c r="W57" s="7">
        <v>1.9000000000000002E-3</v>
      </c>
    </row>
    <row r="58" spans="1:23" x14ac:dyDescent="0.5">
      <c r="A58" s="3">
        <v>5</v>
      </c>
      <c r="B58" s="5">
        <v>0.95283824160435338</v>
      </c>
      <c r="C58" s="3">
        <v>5</v>
      </c>
      <c r="D58" s="3">
        <v>25</v>
      </c>
      <c r="E58" s="3">
        <v>0.05</v>
      </c>
      <c r="F58" s="3">
        <f t="shared" si="0"/>
        <v>2.3817145262624893</v>
      </c>
      <c r="G58" s="5">
        <v>0.3</v>
      </c>
      <c r="H58" s="4">
        <v>15000000</v>
      </c>
      <c r="I58" s="4">
        <f t="shared" si="14"/>
        <v>14292573.6240653</v>
      </c>
      <c r="J58" s="3">
        <v>210000000000</v>
      </c>
      <c r="K58" s="4">
        <f t="shared" si="15"/>
        <v>7.4300844883289363E-2</v>
      </c>
      <c r="L58" s="6">
        <f t="shared" si="3"/>
        <v>1.8575211220822341</v>
      </c>
      <c r="M58" s="4">
        <f t="shared" si="4"/>
        <v>11572968.55825345</v>
      </c>
      <c r="N58" s="4">
        <f t="shared" si="5"/>
        <v>1446621069.7816813</v>
      </c>
      <c r="O58" s="4">
        <f t="shared" si="6"/>
        <v>301379389537.85028</v>
      </c>
      <c r="P58" s="4">
        <f t="shared" si="7"/>
        <v>-18082763372.271015</v>
      </c>
      <c r="Q58" s="4">
        <f t="shared" si="10"/>
        <v>19314351.329606295</v>
      </c>
      <c r="R58" s="4">
        <f t="shared" si="11"/>
        <v>4023823193.6679688</v>
      </c>
      <c r="S58" s="4">
        <f t="shared" si="12"/>
        <v>-241429391.62007904</v>
      </c>
      <c r="T58" s="3"/>
      <c r="U58" s="4">
        <f t="shared" si="8"/>
        <v>37160691.422569782</v>
      </c>
      <c r="V58">
        <f t="shared" si="9"/>
        <v>500160050515.12274</v>
      </c>
      <c r="W58" s="7">
        <v>2.8000000000000004E-3</v>
      </c>
    </row>
    <row r="59" spans="1:23" x14ac:dyDescent="0.5">
      <c r="A59" s="3">
        <v>5</v>
      </c>
      <c r="B59" s="5">
        <v>0.9376867263576607</v>
      </c>
      <c r="C59" s="3">
        <v>5</v>
      </c>
      <c r="D59" s="3">
        <v>25</v>
      </c>
      <c r="E59" s="3">
        <v>0.05</v>
      </c>
      <c r="F59" s="3">
        <f t="shared" si="0"/>
        <v>2.3817145262624893</v>
      </c>
      <c r="G59" s="5">
        <v>0.3</v>
      </c>
      <c r="H59" s="4">
        <v>15000000</v>
      </c>
      <c r="I59" s="4">
        <f t="shared" si="14"/>
        <v>14065300.89536491</v>
      </c>
      <c r="J59" s="3">
        <v>210000000000</v>
      </c>
      <c r="K59" s="4">
        <f t="shared" si="15"/>
        <v>7.4300844883289363E-2</v>
      </c>
      <c r="L59" s="6">
        <f t="shared" si="3"/>
        <v>1.8575211220822341</v>
      </c>
      <c r="M59" s="4">
        <f t="shared" si="4"/>
        <v>11373738.658654636</v>
      </c>
      <c r="N59" s="4">
        <f t="shared" si="5"/>
        <v>1421717332.3318295</v>
      </c>
      <c r="O59" s="4">
        <f t="shared" si="6"/>
        <v>296191110902.46448</v>
      </c>
      <c r="P59" s="4">
        <f t="shared" si="7"/>
        <v>-17771466654.147869</v>
      </c>
      <c r="Q59" s="4">
        <f t="shared" si="10"/>
        <v>24903737.449851751</v>
      </c>
      <c r="R59" s="4">
        <f t="shared" si="11"/>
        <v>5188278635.3858032</v>
      </c>
      <c r="S59" s="4">
        <f t="shared" si="12"/>
        <v>-311296718.12314606</v>
      </c>
      <c r="T59" s="3"/>
      <c r="U59" s="4">
        <f t="shared" si="8"/>
        <v>36569782.327948771</v>
      </c>
      <c r="V59">
        <f t="shared" si="9"/>
        <v>500160050515.12274</v>
      </c>
      <c r="W59" s="7">
        <v>3.7000000000000006E-3</v>
      </c>
    </row>
    <row r="60" spans="1:23" x14ac:dyDescent="0.5">
      <c r="A60" s="3">
        <v>5</v>
      </c>
      <c r="B60" s="5">
        <v>0.91912078522577867</v>
      </c>
      <c r="C60" s="3">
        <v>5</v>
      </c>
      <c r="D60" s="3">
        <v>25</v>
      </c>
      <c r="E60" s="3">
        <v>0.05</v>
      </c>
      <c r="F60" s="3">
        <f t="shared" si="0"/>
        <v>2.3817145262624893</v>
      </c>
      <c r="G60" s="5">
        <v>0.3</v>
      </c>
      <c r="H60" s="4">
        <v>15000000</v>
      </c>
      <c r="I60" s="4">
        <f t="shared" si="14"/>
        <v>13786811.77838668</v>
      </c>
      <c r="J60" s="3">
        <v>210000000000</v>
      </c>
      <c r="K60" s="4">
        <f t="shared" si="15"/>
        <v>7.4300844883289363E-2</v>
      </c>
      <c r="L60" s="6">
        <f t="shared" si="3"/>
        <v>1.8575211220822341</v>
      </c>
      <c r="M60" s="4">
        <f t="shared" si="4"/>
        <v>11129977.82532518</v>
      </c>
      <c r="N60" s="4">
        <f t="shared" si="5"/>
        <v>1391247228.1656475</v>
      </c>
      <c r="O60" s="4">
        <f t="shared" si="6"/>
        <v>289843172534.50989</v>
      </c>
      <c r="P60" s="4">
        <f t="shared" si="7"/>
        <v>-17390590352.070591</v>
      </c>
      <c r="Q60" s="4">
        <f t="shared" si="10"/>
        <v>30470104.166182041</v>
      </c>
      <c r="R60" s="4">
        <f t="shared" si="11"/>
        <v>6347938367.9545898</v>
      </c>
      <c r="S60" s="4">
        <f t="shared" si="12"/>
        <v>-380876302.07727814</v>
      </c>
      <c r="T60" s="3"/>
      <c r="U60" s="4">
        <f t="shared" si="8"/>
        <v>35845710.623805374</v>
      </c>
      <c r="V60">
        <f t="shared" si="9"/>
        <v>500160050515.12274</v>
      </c>
      <c r="W60" s="7">
        <v>4.6000000000000008E-3</v>
      </c>
    </row>
    <row r="61" spans="1:23" x14ac:dyDescent="0.5">
      <c r="A61" s="3">
        <v>5</v>
      </c>
      <c r="B61" s="5">
        <v>0.89842082802944934</v>
      </c>
      <c r="C61" s="3">
        <v>5</v>
      </c>
      <c r="D61" s="3">
        <v>25</v>
      </c>
      <c r="E61" s="3">
        <v>0.05</v>
      </c>
      <c r="F61" s="3">
        <f t="shared" si="0"/>
        <v>2.3817145262624893</v>
      </c>
      <c r="G61" s="5">
        <v>0.3</v>
      </c>
      <c r="H61" s="4">
        <v>15000000</v>
      </c>
      <c r="I61" s="4">
        <f t="shared" si="14"/>
        <v>13476312.420441739</v>
      </c>
      <c r="J61" s="3">
        <v>210000000000</v>
      </c>
      <c r="K61" s="4">
        <f t="shared" si="15"/>
        <v>7.4300844883289363E-2</v>
      </c>
      <c r="L61" s="6">
        <f t="shared" si="3"/>
        <v>1.8575211220822341</v>
      </c>
      <c r="M61" s="4">
        <f t="shared" si="4"/>
        <v>10858682.258950351</v>
      </c>
      <c r="N61" s="4">
        <f t="shared" si="5"/>
        <v>1357335282.368794</v>
      </c>
      <c r="O61" s="4">
        <f t="shared" si="6"/>
        <v>282778183826.83209</v>
      </c>
      <c r="P61" s="4">
        <f t="shared" si="7"/>
        <v>-16966691029.609924</v>
      </c>
      <c r="Q61" s="4">
        <f t="shared" si="10"/>
        <v>33911945.796853542</v>
      </c>
      <c r="R61" s="4">
        <f t="shared" si="11"/>
        <v>7064988707.6777954</v>
      </c>
      <c r="S61" s="4">
        <f t="shared" si="12"/>
        <v>-423899322.46066666</v>
      </c>
      <c r="T61" s="3"/>
      <c r="U61" s="4">
        <f t="shared" si="8"/>
        <v>35038412.293148525</v>
      </c>
      <c r="V61">
        <f t="shared" si="9"/>
        <v>500160050515.12274</v>
      </c>
      <c r="W61" s="7">
        <v>5.5000000000000005E-3</v>
      </c>
    </row>
    <row r="62" spans="1:23" x14ac:dyDescent="0.5">
      <c r="A62" s="3">
        <v>5</v>
      </c>
      <c r="B62" s="5">
        <v>0.874306444793854</v>
      </c>
      <c r="C62" s="3">
        <v>5</v>
      </c>
      <c r="D62" s="3">
        <v>25</v>
      </c>
      <c r="E62" s="3">
        <v>0.05</v>
      </c>
      <c r="F62" s="3">
        <f t="shared" si="0"/>
        <v>2.3817145262624893</v>
      </c>
      <c r="G62" s="5">
        <v>0.3</v>
      </c>
      <c r="H62" s="4">
        <v>15000000</v>
      </c>
      <c r="I62" s="4">
        <f t="shared" si="14"/>
        <v>13114596.67190781</v>
      </c>
      <c r="J62" s="3">
        <v>210000000000</v>
      </c>
      <c r="K62" s="4">
        <f t="shared" si="15"/>
        <v>7.4300844883289363E-2</v>
      </c>
      <c r="L62" s="6">
        <f t="shared" si="3"/>
        <v>1.8575211220822341</v>
      </c>
      <c r="M62" s="4">
        <f t="shared" si="4"/>
        <v>10543293.968379477</v>
      </c>
      <c r="N62" s="4">
        <f t="shared" si="5"/>
        <v>1317911746.0474346</v>
      </c>
      <c r="O62" s="4">
        <f t="shared" si="6"/>
        <v>274564947093.21555</v>
      </c>
      <c r="P62" s="4">
        <f t="shared" si="7"/>
        <v>-16473896825.592932</v>
      </c>
      <c r="Q62" s="4">
        <f t="shared" si="10"/>
        <v>39423536.321359396</v>
      </c>
      <c r="R62" s="4">
        <f t="shared" si="11"/>
        <v>8213236733.6165466</v>
      </c>
      <c r="S62" s="4">
        <f t="shared" si="12"/>
        <v>-492794204.01699257</v>
      </c>
      <c r="T62" s="3"/>
      <c r="U62" s="4">
        <f t="shared" si="8"/>
        <v>34097951.346960306</v>
      </c>
      <c r="V62">
        <f t="shared" si="9"/>
        <v>500160050515.12274</v>
      </c>
      <c r="W62" s="7">
        <v>6.4000000000000003E-3</v>
      </c>
    </row>
    <row r="63" spans="1:23" x14ac:dyDescent="0.5">
      <c r="A63" s="3">
        <v>5</v>
      </c>
      <c r="B63" s="5">
        <v>0.84784464358344003</v>
      </c>
      <c r="C63" s="3">
        <v>5</v>
      </c>
      <c r="D63" s="3">
        <v>25</v>
      </c>
      <c r="E63" s="3">
        <v>0.05</v>
      </c>
      <c r="F63" s="3">
        <f t="shared" si="0"/>
        <v>2.3817145262624893</v>
      </c>
      <c r="G63" s="5">
        <v>0.3</v>
      </c>
      <c r="H63" s="4">
        <v>15000000</v>
      </c>
      <c r="I63" s="4">
        <f t="shared" si="14"/>
        <v>12717669.653751601</v>
      </c>
      <c r="J63" s="3">
        <v>210000000000</v>
      </c>
      <c r="K63" s="4">
        <f t="shared" si="15"/>
        <v>7.4300844883289363E-2</v>
      </c>
      <c r="L63" s="6">
        <f t="shared" si="3"/>
        <v>1.8575211220822341</v>
      </c>
      <c r="M63" s="4">
        <f t="shared" si="4"/>
        <v>10198038.178379664</v>
      </c>
      <c r="N63" s="4">
        <f t="shared" si="5"/>
        <v>1274754772.2974579</v>
      </c>
      <c r="O63" s="4">
        <f t="shared" si="6"/>
        <v>265573910895.30374</v>
      </c>
      <c r="P63" s="4">
        <f t="shared" si="7"/>
        <v>-15934434653.718225</v>
      </c>
      <c r="Q63" s="4">
        <f t="shared" si="10"/>
        <v>43156973.749976635</v>
      </c>
      <c r="R63" s="4">
        <f t="shared" si="11"/>
        <v>8991036197.9118042</v>
      </c>
      <c r="S63" s="4">
        <f t="shared" si="12"/>
        <v>-539462171.87470627</v>
      </c>
      <c r="T63" s="3"/>
      <c r="U63" s="4">
        <f t="shared" si="8"/>
        <v>33065941.099754162</v>
      </c>
      <c r="V63">
        <f t="shared" si="9"/>
        <v>500160050515.12274</v>
      </c>
      <c r="W63" s="7">
        <v>7.3000000000000001E-3</v>
      </c>
    </row>
    <row r="64" spans="1:23" x14ac:dyDescent="0.5">
      <c r="A64" s="3">
        <v>5</v>
      </c>
      <c r="B64" s="5">
        <v>0.81860862139820734</v>
      </c>
      <c r="C64" s="3">
        <v>5</v>
      </c>
      <c r="D64" s="3">
        <v>25</v>
      </c>
      <c r="E64" s="3">
        <v>0.05</v>
      </c>
      <c r="F64" s="3">
        <f t="shared" si="0"/>
        <v>2.3817145262624893</v>
      </c>
      <c r="G64" s="5">
        <v>0.3</v>
      </c>
      <c r="H64" s="4">
        <v>15000000</v>
      </c>
      <c r="I64" s="4">
        <f t="shared" si="14"/>
        <v>12279129.320973109</v>
      </c>
      <c r="J64" s="3">
        <v>210000000000</v>
      </c>
      <c r="K64" s="4">
        <f t="shared" si="15"/>
        <v>7.4300844883289363E-2</v>
      </c>
      <c r="L64" s="6">
        <f t="shared" si="3"/>
        <v>1.8575211220822341</v>
      </c>
      <c r="M64" s="4">
        <f t="shared" si="4"/>
        <v>9817630.2046309132</v>
      </c>
      <c r="N64" s="4">
        <f t="shared" si="5"/>
        <v>1227203775.5788641</v>
      </c>
      <c r="O64" s="4">
        <f t="shared" si="6"/>
        <v>255667453245.59668</v>
      </c>
      <c r="P64" s="4">
        <f t="shared" si="7"/>
        <v>-15340047194.735802</v>
      </c>
      <c r="Q64" s="4">
        <f t="shared" si="10"/>
        <v>47550996.718593836</v>
      </c>
      <c r="R64" s="4">
        <f t="shared" si="11"/>
        <v>9906457649.7070618</v>
      </c>
      <c r="S64" s="4">
        <f t="shared" si="12"/>
        <v>-594387458.98242378</v>
      </c>
      <c r="T64" s="3"/>
      <c r="U64" s="4">
        <f t="shared" si="8"/>
        <v>31925736.234530084</v>
      </c>
      <c r="V64">
        <f t="shared" si="9"/>
        <v>500160050515.12274</v>
      </c>
      <c r="W64" s="7">
        <v>8.2000000000000007E-3</v>
      </c>
    </row>
    <row r="65" spans="1:23" x14ac:dyDescent="0.5">
      <c r="A65" s="3">
        <v>5</v>
      </c>
      <c r="B65" s="5">
        <v>0.78809218948186066</v>
      </c>
      <c r="C65" s="3">
        <v>5</v>
      </c>
      <c r="D65" s="3">
        <v>25</v>
      </c>
      <c r="E65" s="3">
        <v>0.05</v>
      </c>
      <c r="F65" s="3">
        <f t="shared" si="0"/>
        <v>2.3817145262624893</v>
      </c>
      <c r="G65" s="5">
        <v>0.3</v>
      </c>
      <c r="H65" s="4">
        <v>15000000</v>
      </c>
      <c r="I65" s="4">
        <f t="shared" si="14"/>
        <v>11821382.84222791</v>
      </c>
      <c r="J65" s="3">
        <v>210000000000</v>
      </c>
      <c r="K65" s="4">
        <f t="shared" si="15"/>
        <v>7.4300844883289363E-2</v>
      </c>
      <c r="L65" s="6">
        <f t="shared" si="3"/>
        <v>1.8575211220822341</v>
      </c>
      <c r="M65" s="4">
        <f t="shared" si="4"/>
        <v>9421768.6931006834</v>
      </c>
      <c r="N65" s="4">
        <f t="shared" si="5"/>
        <v>1177721086.6375854</v>
      </c>
      <c r="O65" s="4">
        <f t="shared" si="6"/>
        <v>245358559716.1636</v>
      </c>
      <c r="P65" s="4">
        <f t="shared" si="7"/>
        <v>-14721513582.969818</v>
      </c>
      <c r="Q65" s="4">
        <f t="shared" si="10"/>
        <v>49482688.941278696</v>
      </c>
      <c r="R65" s="4">
        <f t="shared" si="11"/>
        <v>10308893529.433075</v>
      </c>
      <c r="S65" s="4">
        <f t="shared" si="12"/>
        <v>-618533611.76598358</v>
      </c>
      <c r="T65" s="3"/>
      <c r="U65" s="4">
        <f t="shared" si="8"/>
        <v>30735595.389792565</v>
      </c>
      <c r="V65">
        <f t="shared" si="9"/>
        <v>500160050515.12274</v>
      </c>
      <c r="W65" s="7">
        <v>9.1000000000000004E-3</v>
      </c>
    </row>
    <row r="66" spans="1:23" x14ac:dyDescent="0.5">
      <c r="A66" s="3">
        <v>5</v>
      </c>
      <c r="B66" s="5">
        <v>0.74989329906401991</v>
      </c>
      <c r="C66" s="3">
        <v>5</v>
      </c>
      <c r="D66" s="3">
        <v>25</v>
      </c>
      <c r="E66" s="3">
        <v>0.05</v>
      </c>
      <c r="F66" s="3">
        <f t="shared" si="0"/>
        <v>2.3817145262624893</v>
      </c>
      <c r="G66" s="5">
        <v>0.3</v>
      </c>
      <c r="H66" s="4">
        <v>15000000</v>
      </c>
      <c r="I66" s="4">
        <f t="shared" si="14"/>
        <v>11248399.485960299</v>
      </c>
      <c r="J66" s="3">
        <v>210000000000</v>
      </c>
      <c r="K66" s="4">
        <f t="shared" si="15"/>
        <v>7.4300844883289363E-2</v>
      </c>
      <c r="L66" s="6">
        <f t="shared" si="3"/>
        <v>1.8575211220822341</v>
      </c>
      <c r="M66" s="4">
        <f t="shared" si="4"/>
        <v>8928052.9691605698</v>
      </c>
      <c r="N66" s="4">
        <f t="shared" si="5"/>
        <v>1116006621.1450713</v>
      </c>
      <c r="O66" s="4">
        <f t="shared" si="6"/>
        <v>232501379405.22318</v>
      </c>
      <c r="P66" s="4">
        <f t="shared" si="7"/>
        <v>-13950082764.313391</v>
      </c>
      <c r="Q66" s="4">
        <f t="shared" si="10"/>
        <v>61714465.492514133</v>
      </c>
      <c r="R66" s="4">
        <f t="shared" si="11"/>
        <v>12857180310.94043</v>
      </c>
      <c r="S66" s="4">
        <f t="shared" si="12"/>
        <v>-771430818.65642738</v>
      </c>
      <c r="T66" s="3"/>
      <c r="U66" s="4">
        <f t="shared" si="8"/>
        <v>29245838.663496777</v>
      </c>
      <c r="V66">
        <f t="shared" si="9"/>
        <v>500160050515.12274</v>
      </c>
      <c r="W66" s="7">
        <v>0.01</v>
      </c>
    </row>
    <row r="67" spans="1:23" x14ac:dyDescent="0.5">
      <c r="A67" s="3">
        <v>5</v>
      </c>
      <c r="B67" s="5">
        <v>0.70977379424839926</v>
      </c>
      <c r="C67" s="3">
        <v>5</v>
      </c>
      <c r="D67" s="3">
        <v>25</v>
      </c>
      <c r="E67" s="3">
        <v>0.05</v>
      </c>
      <c r="F67" s="3">
        <f t="shared" ref="F67:F130" si="16">(3.141592*((C67^4)-(C67-(2*E67))^4))/64</f>
        <v>2.3817145262624893</v>
      </c>
      <c r="G67" s="5">
        <v>0.3</v>
      </c>
      <c r="H67" s="4">
        <v>15000000</v>
      </c>
      <c r="I67" s="4">
        <f t="shared" si="14"/>
        <v>10646606.913725989</v>
      </c>
      <c r="J67" s="3">
        <v>210000000000</v>
      </c>
      <c r="K67" s="4">
        <f t="shared" si="15"/>
        <v>7.4300844883289363E-2</v>
      </c>
      <c r="L67" s="6">
        <f t="shared" ref="L67:L130" si="17">K67*D67</f>
        <v>1.8575211220822341</v>
      </c>
      <c r="M67" s="4">
        <f t="shared" ref="M67:M130" si="18">(0.65/C67)*(((2*U67*(1+G67)*C67^4)/(J67*F67))^(1/12))*((2*U67*(1+G67))/(1-G67^2))</f>
        <v>8411768.0094422679</v>
      </c>
      <c r="N67" s="4">
        <f t="shared" ref="N67:N130" si="19">IF(L67&gt;=2.5,M67*C67/K67,M67*C67*D67)</f>
        <v>1051471001.1802835</v>
      </c>
      <c r="O67" s="4">
        <f t="shared" ref="O67:O130" si="20">IF(L67&gt;=2.5,M67*C67/(2*K67^3),M67*C67*(D67^3)/3)</f>
        <v>219056458579.22574</v>
      </c>
      <c r="P67" s="4">
        <f t="shared" ref="P67:P130" si="21">IF(L67&gt;=2.5,-(M67*C67/(2*K67^2)),-(M67*C67*(D67^2)/2))</f>
        <v>-13143387514.753544</v>
      </c>
      <c r="Q67" s="4">
        <f t="shared" si="10"/>
        <v>64535619.964787722</v>
      </c>
      <c r="R67" s="4">
        <f t="shared" si="11"/>
        <v>13444920825.997437</v>
      </c>
      <c r="S67" s="4">
        <f t="shared" si="12"/>
        <v>-806695249.55984688</v>
      </c>
      <c r="T67" s="3"/>
      <c r="U67" s="4">
        <f t="shared" ref="U67:U130" si="22">2*I67*(G67+1)</f>
        <v>27681177.975687571</v>
      </c>
      <c r="V67">
        <f t="shared" ref="V67:V130" si="23">J67*F67</f>
        <v>500160050515.12274</v>
      </c>
      <c r="W67" s="7">
        <v>1.9000000000000003E-2</v>
      </c>
    </row>
    <row r="68" spans="1:23" x14ac:dyDescent="0.5">
      <c r="A68" s="3">
        <v>5</v>
      </c>
      <c r="B68" s="5">
        <v>0.66944088776611133</v>
      </c>
      <c r="C68" s="3">
        <v>5</v>
      </c>
      <c r="D68" s="3">
        <v>25</v>
      </c>
      <c r="E68" s="3">
        <v>0.05</v>
      </c>
      <c r="F68" s="3">
        <f t="shared" si="16"/>
        <v>2.3817145262624893</v>
      </c>
      <c r="G68" s="5">
        <v>0.3</v>
      </c>
      <c r="H68" s="4">
        <v>15000000</v>
      </c>
      <c r="I68" s="4">
        <f t="shared" si="14"/>
        <v>10041613.316491669</v>
      </c>
      <c r="J68" s="3">
        <v>210000000000</v>
      </c>
      <c r="K68" s="4">
        <f t="shared" si="15"/>
        <v>7.4300844883289363E-2</v>
      </c>
      <c r="L68" s="6">
        <f t="shared" si="17"/>
        <v>1.8575211220822341</v>
      </c>
      <c r="M68" s="4">
        <f t="shared" si="18"/>
        <v>7895183.893341409</v>
      </c>
      <c r="N68" s="4">
        <f t="shared" si="19"/>
        <v>986897986.66767609</v>
      </c>
      <c r="O68" s="4">
        <f t="shared" si="20"/>
        <v>205603747222.43253</v>
      </c>
      <c r="P68" s="4">
        <f t="shared" si="21"/>
        <v>-12336224833.345951</v>
      </c>
      <c r="Q68" s="4">
        <f t="shared" ref="Q68:S131" si="24">N67-N68</f>
        <v>64573014.512607455</v>
      </c>
      <c r="R68" s="4">
        <f t="shared" si="24"/>
        <v>13452711356.793213</v>
      </c>
      <c r="S68" s="4">
        <f t="shared" si="24"/>
        <v>-807162681.40759277</v>
      </c>
      <c r="T68" s="3"/>
      <c r="U68" s="4">
        <f t="shared" si="22"/>
        <v>26108194.622878339</v>
      </c>
      <c r="V68">
        <f t="shared" si="23"/>
        <v>500160050515.12274</v>
      </c>
      <c r="W68" s="7">
        <v>2.8000000000000004E-2</v>
      </c>
    </row>
    <row r="69" spans="1:23" x14ac:dyDescent="0.5">
      <c r="A69" s="3">
        <v>5</v>
      </c>
      <c r="B69" s="5">
        <v>0.62953478461715728</v>
      </c>
      <c r="C69" s="3">
        <v>5</v>
      </c>
      <c r="D69" s="3">
        <v>25</v>
      </c>
      <c r="E69" s="3">
        <v>0.05</v>
      </c>
      <c r="F69" s="3">
        <f t="shared" si="16"/>
        <v>2.3817145262624893</v>
      </c>
      <c r="G69" s="5">
        <v>0.3</v>
      </c>
      <c r="H69" s="4">
        <v>15000000</v>
      </c>
      <c r="I69" s="4">
        <f t="shared" si="14"/>
        <v>9443021.7692573592</v>
      </c>
      <c r="J69" s="3">
        <v>210000000000</v>
      </c>
      <c r="K69" s="4">
        <f t="shared" si="15"/>
        <v>7.4300844883289363E-2</v>
      </c>
      <c r="L69" s="6">
        <f t="shared" si="17"/>
        <v>1.8575211220822341</v>
      </c>
      <c r="M69" s="4">
        <f t="shared" si="18"/>
        <v>7386613.444069013</v>
      </c>
      <c r="N69" s="4">
        <f t="shared" si="19"/>
        <v>923326680.50862658</v>
      </c>
      <c r="O69" s="4">
        <f t="shared" si="20"/>
        <v>192359725105.96387</v>
      </c>
      <c r="P69" s="4">
        <f t="shared" si="21"/>
        <v>-11541583506.357832</v>
      </c>
      <c r="Q69" s="4">
        <f t="shared" si="24"/>
        <v>63571306.159049511</v>
      </c>
      <c r="R69" s="4">
        <f t="shared" si="24"/>
        <v>13244022116.468658</v>
      </c>
      <c r="S69" s="4">
        <f t="shared" si="24"/>
        <v>-794641326.98811913</v>
      </c>
      <c r="T69" s="3"/>
      <c r="U69" s="4">
        <f t="shared" si="22"/>
        <v>24551856.600069135</v>
      </c>
      <c r="V69">
        <f t="shared" si="23"/>
        <v>500160050515.12274</v>
      </c>
      <c r="W69" s="7">
        <v>3.7000000000000005E-2</v>
      </c>
    </row>
    <row r="70" spans="1:23" x14ac:dyDescent="0.5">
      <c r="A70" s="3">
        <v>5</v>
      </c>
      <c r="B70" s="5">
        <v>0.58536064867264126</v>
      </c>
      <c r="C70" s="3">
        <v>5</v>
      </c>
      <c r="D70" s="3">
        <v>25</v>
      </c>
      <c r="E70" s="3">
        <v>0.05</v>
      </c>
      <c r="F70" s="3">
        <f t="shared" si="16"/>
        <v>2.3817145262624893</v>
      </c>
      <c r="G70" s="5">
        <v>0.3</v>
      </c>
      <c r="H70" s="4">
        <v>15000000</v>
      </c>
      <c r="I70" s="4">
        <f t="shared" si="14"/>
        <v>8780409.7300896198</v>
      </c>
      <c r="J70" s="3">
        <v>210000000000</v>
      </c>
      <c r="K70" s="4">
        <f t="shared" si="15"/>
        <v>7.4300844883289363E-2</v>
      </c>
      <c r="L70" s="6">
        <f t="shared" si="17"/>
        <v>1.8575211220822341</v>
      </c>
      <c r="M70" s="4">
        <f t="shared" si="18"/>
        <v>6826783.7527721366</v>
      </c>
      <c r="N70" s="4">
        <f t="shared" si="19"/>
        <v>853347969.09651697</v>
      </c>
      <c r="O70" s="4">
        <f t="shared" si="20"/>
        <v>177780826895.1077</v>
      </c>
      <c r="P70" s="4">
        <f t="shared" si="21"/>
        <v>-10666849613.706463</v>
      </c>
      <c r="Q70" s="4">
        <f t="shared" si="24"/>
        <v>69978711.412109613</v>
      </c>
      <c r="R70" s="4">
        <f t="shared" si="24"/>
        <v>14578898210.856171</v>
      </c>
      <c r="S70" s="4">
        <f t="shared" si="24"/>
        <v>-874733892.65136909</v>
      </c>
      <c r="T70" s="3"/>
      <c r="U70" s="4">
        <f t="shared" si="22"/>
        <v>22829065.298233014</v>
      </c>
      <c r="V70">
        <f t="shared" si="23"/>
        <v>500160050515.12274</v>
      </c>
      <c r="W70" s="7">
        <v>4.6000000000000006E-2</v>
      </c>
    </row>
    <row r="71" spans="1:23" x14ac:dyDescent="0.5">
      <c r="A71" s="3">
        <v>5</v>
      </c>
      <c r="B71" s="5">
        <v>0.5401195049718307</v>
      </c>
      <c r="C71" s="3">
        <v>5</v>
      </c>
      <c r="D71" s="3">
        <v>25</v>
      </c>
      <c r="E71" s="3">
        <v>0.05</v>
      </c>
      <c r="F71" s="3">
        <f t="shared" si="16"/>
        <v>2.3817145262624893</v>
      </c>
      <c r="G71" s="5">
        <v>0.3</v>
      </c>
      <c r="H71" s="4">
        <v>15000000</v>
      </c>
      <c r="I71" s="4">
        <f t="shared" si="14"/>
        <v>8101792.5745774601</v>
      </c>
      <c r="J71" s="3">
        <v>210000000000</v>
      </c>
      <c r="K71" s="4">
        <f t="shared" si="15"/>
        <v>7.4300844883289363E-2</v>
      </c>
      <c r="L71" s="6">
        <f t="shared" si="17"/>
        <v>1.8575211220822341</v>
      </c>
      <c r="M71" s="4">
        <f t="shared" si="18"/>
        <v>6257074.7796493154</v>
      </c>
      <c r="N71" s="4">
        <f t="shared" si="19"/>
        <v>782134347.45616448</v>
      </c>
      <c r="O71" s="4">
        <f t="shared" si="20"/>
        <v>162944655720.03427</v>
      </c>
      <c r="P71" s="4">
        <f t="shared" si="21"/>
        <v>-9776679343.202055</v>
      </c>
      <c r="Q71" s="4">
        <f t="shared" si="24"/>
        <v>71213621.640352488</v>
      </c>
      <c r="R71" s="4">
        <f t="shared" si="24"/>
        <v>14836171175.073425</v>
      </c>
      <c r="S71" s="4">
        <f t="shared" si="24"/>
        <v>-890170270.50440788</v>
      </c>
      <c r="T71" s="3"/>
      <c r="U71" s="4">
        <f t="shared" si="22"/>
        <v>21064660.693901397</v>
      </c>
      <c r="V71">
        <f t="shared" si="23"/>
        <v>500160050515.12274</v>
      </c>
      <c r="W71" s="7">
        <v>5.5000000000000007E-2</v>
      </c>
    </row>
    <row r="72" spans="1:23" x14ac:dyDescent="0.5">
      <c r="A72" s="3">
        <v>5</v>
      </c>
      <c r="B72" s="5">
        <v>0.49103713189842063</v>
      </c>
      <c r="C72" s="3">
        <v>5</v>
      </c>
      <c r="D72" s="3">
        <v>25</v>
      </c>
      <c r="E72" s="3">
        <v>0.05</v>
      </c>
      <c r="F72" s="3">
        <f t="shared" si="16"/>
        <v>2.3817145262624893</v>
      </c>
      <c r="G72" s="5">
        <v>0.3</v>
      </c>
      <c r="H72" s="4">
        <v>15000000</v>
      </c>
      <c r="I72" s="4">
        <f t="shared" si="14"/>
        <v>7365556.9784763092</v>
      </c>
      <c r="J72" s="3">
        <v>210000000000</v>
      </c>
      <c r="K72" s="4">
        <f t="shared" si="15"/>
        <v>7.4300844883289363E-2</v>
      </c>
      <c r="L72" s="6">
        <f t="shared" si="17"/>
        <v>1.8575211220822341</v>
      </c>
      <c r="M72" s="4">
        <f t="shared" si="18"/>
        <v>5643491.2793636816</v>
      </c>
      <c r="N72" s="4">
        <f t="shared" si="19"/>
        <v>705436409.92046022</v>
      </c>
      <c r="O72" s="4">
        <f t="shared" si="20"/>
        <v>146965918733.4292</v>
      </c>
      <c r="P72" s="4">
        <f t="shared" si="21"/>
        <v>-8817955124.0057526</v>
      </c>
      <c r="Q72" s="4">
        <f t="shared" si="24"/>
        <v>76697937.535704255</v>
      </c>
      <c r="R72" s="4">
        <f t="shared" si="24"/>
        <v>15978736986.605072</v>
      </c>
      <c r="S72" s="4">
        <f t="shared" si="24"/>
        <v>-958724219.19630241</v>
      </c>
      <c r="T72" s="3"/>
      <c r="U72" s="4">
        <f t="shared" si="22"/>
        <v>19150448.144038405</v>
      </c>
      <c r="V72">
        <f t="shared" si="23"/>
        <v>500160050515.12274</v>
      </c>
      <c r="W72" s="7">
        <v>6.4000000000000001E-2</v>
      </c>
    </row>
    <row r="73" spans="1:23" x14ac:dyDescent="0.5">
      <c r="A73" s="3">
        <v>5</v>
      </c>
      <c r="B73" s="5">
        <v>0.44259496362057199</v>
      </c>
      <c r="C73" s="3">
        <v>5</v>
      </c>
      <c r="D73" s="3">
        <v>25</v>
      </c>
      <c r="E73" s="3">
        <v>0.05</v>
      </c>
      <c r="F73" s="3">
        <f t="shared" si="16"/>
        <v>2.3817145262624893</v>
      </c>
      <c r="G73" s="5">
        <v>0.3</v>
      </c>
      <c r="H73" s="4">
        <v>15000000</v>
      </c>
      <c r="I73" s="4">
        <f t="shared" si="14"/>
        <v>6638924.4543085797</v>
      </c>
      <c r="J73" s="3">
        <v>210000000000</v>
      </c>
      <c r="K73" s="4">
        <f t="shared" si="15"/>
        <v>7.4300844883289363E-2</v>
      </c>
      <c r="L73" s="6">
        <f t="shared" si="17"/>
        <v>1.8575211220822341</v>
      </c>
      <c r="M73" s="4">
        <f t="shared" si="18"/>
        <v>5042907.5059992569</v>
      </c>
      <c r="N73" s="4">
        <f t="shared" si="19"/>
        <v>630363438.24990714</v>
      </c>
      <c r="O73" s="4">
        <f t="shared" si="20"/>
        <v>131325716302.06398</v>
      </c>
      <c r="P73" s="4">
        <f t="shared" si="21"/>
        <v>-7879542978.1238384</v>
      </c>
      <c r="Q73" s="4">
        <f t="shared" si="24"/>
        <v>75072971.670553088</v>
      </c>
      <c r="R73" s="4">
        <f t="shared" si="24"/>
        <v>15640202431.365219</v>
      </c>
      <c r="S73" s="4">
        <f t="shared" si="24"/>
        <v>-938412145.88191414</v>
      </c>
      <c r="T73" s="3"/>
      <c r="U73" s="4">
        <f t="shared" si="22"/>
        <v>17261203.58120231</v>
      </c>
      <c r="V73">
        <f t="shared" si="23"/>
        <v>500160050515.12274</v>
      </c>
      <c r="W73" s="7">
        <v>7.3000000000000009E-2</v>
      </c>
    </row>
    <row r="74" spans="1:23" x14ac:dyDescent="0.5">
      <c r="A74" s="3">
        <v>5</v>
      </c>
      <c r="B74" s="5">
        <v>0.39628681174050334</v>
      </c>
      <c r="C74" s="3">
        <v>5</v>
      </c>
      <c r="D74" s="3">
        <v>25</v>
      </c>
      <c r="E74" s="3">
        <v>0.05</v>
      </c>
      <c r="F74" s="3">
        <f t="shared" si="16"/>
        <v>2.3817145262624893</v>
      </c>
      <c r="G74" s="5">
        <v>0.3</v>
      </c>
      <c r="H74" s="4">
        <v>15000000</v>
      </c>
      <c r="I74" s="4">
        <f t="shared" si="14"/>
        <v>5944302.17610755</v>
      </c>
      <c r="J74" s="3">
        <v>210000000000</v>
      </c>
      <c r="K74" s="4">
        <f t="shared" si="15"/>
        <v>7.4300844883289363E-2</v>
      </c>
      <c r="L74" s="6">
        <f t="shared" si="17"/>
        <v>1.8575211220822341</v>
      </c>
      <c r="M74" s="4">
        <f t="shared" si="18"/>
        <v>4473880.8852514364</v>
      </c>
      <c r="N74" s="4">
        <f t="shared" si="19"/>
        <v>559235110.65642953</v>
      </c>
      <c r="O74" s="4">
        <f t="shared" si="20"/>
        <v>116507314720.08949</v>
      </c>
      <c r="P74" s="4">
        <f t="shared" si="21"/>
        <v>-6990438883.205369</v>
      </c>
      <c r="Q74" s="4">
        <f t="shared" si="24"/>
        <v>71128327.593477607</v>
      </c>
      <c r="R74" s="4">
        <f t="shared" si="24"/>
        <v>14818401581.974487</v>
      </c>
      <c r="S74" s="4">
        <f t="shared" si="24"/>
        <v>-889104094.91846943</v>
      </c>
      <c r="T74" s="3"/>
      <c r="U74" s="4">
        <f t="shared" si="22"/>
        <v>15455185.65787963</v>
      </c>
      <c r="V74">
        <f t="shared" si="23"/>
        <v>500160050515.12274</v>
      </c>
      <c r="W74" s="7">
        <v>8.2000000000000017E-2</v>
      </c>
    </row>
    <row r="75" spans="1:23" x14ac:dyDescent="0.5">
      <c r="A75" s="3">
        <v>5</v>
      </c>
      <c r="B75" s="5">
        <v>0.35019206159154931</v>
      </c>
      <c r="C75" s="3">
        <v>5</v>
      </c>
      <c r="D75" s="3">
        <v>25</v>
      </c>
      <c r="E75" s="3">
        <v>0.05</v>
      </c>
      <c r="F75" s="3">
        <f t="shared" si="16"/>
        <v>2.3817145262624893</v>
      </c>
      <c r="G75" s="5">
        <v>0.3</v>
      </c>
      <c r="H75" s="4">
        <v>15000000</v>
      </c>
      <c r="I75" s="4">
        <f t="shared" si="14"/>
        <v>5252880.9238732392</v>
      </c>
      <c r="J75" s="3">
        <v>210000000000</v>
      </c>
      <c r="K75" s="4">
        <f t="shared" si="15"/>
        <v>7.4300844883289363E-2</v>
      </c>
      <c r="L75" s="6">
        <f t="shared" si="17"/>
        <v>1.8575211220822341</v>
      </c>
      <c r="M75" s="4">
        <f t="shared" si="18"/>
        <v>3912963.6879682383</v>
      </c>
      <c r="N75" s="4">
        <f t="shared" si="19"/>
        <v>489120460.99602979</v>
      </c>
      <c r="O75" s="4">
        <f t="shared" si="20"/>
        <v>101900096040.83954</v>
      </c>
      <c r="P75" s="4">
        <f t="shared" si="21"/>
        <v>-6114005762.4503727</v>
      </c>
      <c r="Q75" s="4">
        <f t="shared" si="24"/>
        <v>70114649.660399735</v>
      </c>
      <c r="R75" s="4">
        <f t="shared" si="24"/>
        <v>14607218679.249954</v>
      </c>
      <c r="S75" s="4">
        <f t="shared" si="24"/>
        <v>-876433120.7549963</v>
      </c>
      <c r="T75" s="3"/>
      <c r="U75" s="4">
        <f t="shared" si="22"/>
        <v>13657490.402070422</v>
      </c>
      <c r="V75">
        <f t="shared" si="23"/>
        <v>500160050515.12274</v>
      </c>
      <c r="W75" s="7">
        <v>9.1000000000000025E-2</v>
      </c>
    </row>
    <row r="76" spans="1:23" x14ac:dyDescent="0.5">
      <c r="A76" s="3">
        <v>5</v>
      </c>
      <c r="B76" s="5">
        <v>0.31092616312334598</v>
      </c>
      <c r="C76" s="3">
        <v>5</v>
      </c>
      <c r="D76" s="3">
        <v>25</v>
      </c>
      <c r="E76" s="3">
        <v>0.05</v>
      </c>
      <c r="F76" s="3">
        <f t="shared" si="16"/>
        <v>2.3817145262624893</v>
      </c>
      <c r="G76" s="5">
        <v>0.3</v>
      </c>
      <c r="H76" s="4">
        <v>15000000</v>
      </c>
      <c r="I76" s="4">
        <f t="shared" si="14"/>
        <v>4663892.4468501899</v>
      </c>
      <c r="J76" s="3">
        <v>210000000000</v>
      </c>
      <c r="K76" s="4">
        <f t="shared" si="15"/>
        <v>7.4300844883289363E-2</v>
      </c>
      <c r="L76" s="6">
        <f t="shared" si="17"/>
        <v>1.8575211220822341</v>
      </c>
      <c r="M76" s="4">
        <f t="shared" si="18"/>
        <v>3439954.5345279984</v>
      </c>
      <c r="N76" s="4">
        <f t="shared" si="19"/>
        <v>429994316.81599981</v>
      </c>
      <c r="O76" s="4">
        <f t="shared" si="20"/>
        <v>89582149336.666626</v>
      </c>
      <c r="P76" s="4">
        <f t="shared" si="21"/>
        <v>-5374928960.1999979</v>
      </c>
      <c r="Q76" s="4">
        <f t="shared" si="24"/>
        <v>59126144.180029988</v>
      </c>
      <c r="R76" s="4">
        <f t="shared" si="24"/>
        <v>12317946704.172913</v>
      </c>
      <c r="S76" s="4">
        <f t="shared" si="24"/>
        <v>-739076802.25037479</v>
      </c>
      <c r="T76" s="3"/>
      <c r="U76" s="4">
        <f t="shared" si="22"/>
        <v>12126120.361810494</v>
      </c>
      <c r="V76">
        <f t="shared" si="23"/>
        <v>500160050515.12274</v>
      </c>
      <c r="W76" s="7">
        <v>0.10000000000000003</v>
      </c>
    </row>
    <row r="77" spans="1:23" x14ac:dyDescent="0.5">
      <c r="A77" s="3">
        <v>5</v>
      </c>
      <c r="B77" s="5">
        <v>0.26888604359069534</v>
      </c>
      <c r="C77" s="3">
        <v>5</v>
      </c>
      <c r="D77" s="3">
        <v>25</v>
      </c>
      <c r="E77" s="3">
        <v>0.05</v>
      </c>
      <c r="F77" s="3">
        <f t="shared" si="16"/>
        <v>2.3817145262624893</v>
      </c>
      <c r="G77" s="5">
        <v>0.3</v>
      </c>
      <c r="H77" s="4">
        <v>15000000</v>
      </c>
      <c r="I77" s="4">
        <f t="shared" si="14"/>
        <v>4033290.6538604302</v>
      </c>
      <c r="J77" s="3">
        <v>210000000000</v>
      </c>
      <c r="K77" s="4">
        <f t="shared" si="15"/>
        <v>7.4300844883289363E-2</v>
      </c>
      <c r="L77" s="6">
        <f t="shared" si="17"/>
        <v>1.8575211220822341</v>
      </c>
      <c r="M77" s="4">
        <f t="shared" si="18"/>
        <v>2939045.2912735255</v>
      </c>
      <c r="N77" s="4">
        <f t="shared" si="19"/>
        <v>367380661.40919065</v>
      </c>
      <c r="O77" s="4">
        <f t="shared" si="20"/>
        <v>76537637793.58139</v>
      </c>
      <c r="P77" s="4">
        <f t="shared" si="21"/>
        <v>-4592258267.6148834</v>
      </c>
      <c r="Q77" s="4">
        <f t="shared" si="24"/>
        <v>62613655.406809151</v>
      </c>
      <c r="R77" s="4">
        <f t="shared" si="24"/>
        <v>13044511543.085236</v>
      </c>
      <c r="S77" s="4">
        <f t="shared" si="24"/>
        <v>-782670692.58511448</v>
      </c>
      <c r="T77" s="3"/>
      <c r="U77" s="4">
        <f t="shared" si="22"/>
        <v>10486555.700037118</v>
      </c>
      <c r="V77">
        <f t="shared" si="23"/>
        <v>500160050515.12274</v>
      </c>
      <c r="W77" s="7">
        <v>0.19000000000000003</v>
      </c>
    </row>
    <row r="78" spans="1:23" x14ac:dyDescent="0.5">
      <c r="A78" s="3">
        <v>5</v>
      </c>
      <c r="B78" s="5">
        <v>0.23303457116175799</v>
      </c>
      <c r="C78" s="3">
        <v>5</v>
      </c>
      <c r="D78" s="3">
        <v>25</v>
      </c>
      <c r="E78" s="3">
        <v>0.05</v>
      </c>
      <c r="F78" s="3">
        <f t="shared" si="16"/>
        <v>2.3817145262624893</v>
      </c>
      <c r="G78" s="5">
        <v>0.3</v>
      </c>
      <c r="H78" s="4">
        <v>15000000</v>
      </c>
      <c r="I78" s="4">
        <f t="shared" si="14"/>
        <v>3495518.56742637</v>
      </c>
      <c r="J78" s="3">
        <v>210000000000</v>
      </c>
      <c r="K78" s="4">
        <f t="shared" si="15"/>
        <v>7.4300844883289363E-2</v>
      </c>
      <c r="L78" s="6">
        <f t="shared" si="17"/>
        <v>1.8575211220822341</v>
      </c>
      <c r="M78" s="4">
        <f t="shared" si="18"/>
        <v>2516977.7696751216</v>
      </c>
      <c r="N78" s="4">
        <f t="shared" si="19"/>
        <v>314622221.20939016</v>
      </c>
      <c r="O78" s="4">
        <f t="shared" si="20"/>
        <v>65546296085.289619</v>
      </c>
      <c r="P78" s="4">
        <f t="shared" si="21"/>
        <v>-3932777765.1173773</v>
      </c>
      <c r="Q78" s="4">
        <f t="shared" si="24"/>
        <v>52758440.199800491</v>
      </c>
      <c r="R78" s="4">
        <f t="shared" si="24"/>
        <v>10991341708.291771</v>
      </c>
      <c r="S78" s="4">
        <f t="shared" si="24"/>
        <v>-659480502.49750614</v>
      </c>
      <c r="T78" s="3"/>
      <c r="U78" s="4">
        <f t="shared" si="22"/>
        <v>9088348.2753085624</v>
      </c>
      <c r="V78">
        <f t="shared" si="23"/>
        <v>500160050515.12274</v>
      </c>
      <c r="W78" s="7">
        <v>0.28000000000000003</v>
      </c>
    </row>
    <row r="79" spans="1:23" x14ac:dyDescent="0.5">
      <c r="A79" s="3">
        <v>5</v>
      </c>
      <c r="B79" s="5">
        <v>0.20145113110542001</v>
      </c>
      <c r="C79" s="3">
        <v>5</v>
      </c>
      <c r="D79" s="3">
        <v>25</v>
      </c>
      <c r="E79" s="3">
        <v>0.05</v>
      </c>
      <c r="F79" s="3">
        <f t="shared" si="16"/>
        <v>2.3817145262624893</v>
      </c>
      <c r="G79" s="5">
        <v>0.3</v>
      </c>
      <c r="H79" s="4">
        <v>15000000</v>
      </c>
      <c r="I79" s="4">
        <f t="shared" si="14"/>
        <v>3021766.9665813004</v>
      </c>
      <c r="J79" s="3">
        <v>210000000000</v>
      </c>
      <c r="K79" s="4">
        <f t="shared" si="15"/>
        <v>7.4300844883289363E-2</v>
      </c>
      <c r="L79" s="6">
        <f t="shared" si="17"/>
        <v>1.8575211220822341</v>
      </c>
      <c r="M79" s="4">
        <f t="shared" si="18"/>
        <v>2149600.9666109025</v>
      </c>
      <c r="N79" s="4">
        <f t="shared" si="19"/>
        <v>268700120.82636285</v>
      </c>
      <c r="O79" s="4">
        <f t="shared" si="20"/>
        <v>55979191838.825592</v>
      </c>
      <c r="P79" s="4">
        <f t="shared" si="21"/>
        <v>-3358751510.329535</v>
      </c>
      <c r="Q79" s="4">
        <f t="shared" si="24"/>
        <v>45922100.383027315</v>
      </c>
      <c r="R79" s="4">
        <f t="shared" si="24"/>
        <v>9567104246.4640274</v>
      </c>
      <c r="S79" s="4">
        <f t="shared" si="24"/>
        <v>-574026254.78784227</v>
      </c>
      <c r="T79" s="3"/>
      <c r="U79" s="4">
        <f t="shared" si="22"/>
        <v>7856594.1131113814</v>
      </c>
      <c r="V79">
        <f t="shared" si="23"/>
        <v>500160050515.12274</v>
      </c>
      <c r="W79" s="7">
        <v>0.37</v>
      </c>
    </row>
    <row r="80" spans="1:23" x14ac:dyDescent="0.5">
      <c r="A80" s="3">
        <v>5</v>
      </c>
      <c r="B80" s="5">
        <v>0.17050789595945332</v>
      </c>
      <c r="C80" s="3">
        <v>5</v>
      </c>
      <c r="D80" s="3">
        <v>25</v>
      </c>
      <c r="E80" s="3">
        <v>0.05</v>
      </c>
      <c r="F80" s="3">
        <f t="shared" si="16"/>
        <v>2.3817145262624893</v>
      </c>
      <c r="G80" s="5">
        <v>0.3</v>
      </c>
      <c r="H80" s="4">
        <v>15000000</v>
      </c>
      <c r="I80" s="4">
        <f t="shared" si="14"/>
        <v>2557618.4393917997</v>
      </c>
      <c r="J80" s="3">
        <v>210000000000</v>
      </c>
      <c r="K80" s="4">
        <f t="shared" si="15"/>
        <v>7.4300844883289363E-2</v>
      </c>
      <c r="L80" s="6">
        <f t="shared" si="17"/>
        <v>1.8575211220822341</v>
      </c>
      <c r="M80" s="4">
        <f t="shared" si="18"/>
        <v>1794308.8502161754</v>
      </c>
      <c r="N80" s="4">
        <f t="shared" si="19"/>
        <v>224288606.27702194</v>
      </c>
      <c r="O80" s="4">
        <f t="shared" si="20"/>
        <v>46726792974.379578</v>
      </c>
      <c r="P80" s="4">
        <f t="shared" si="21"/>
        <v>-2803607578.4627743</v>
      </c>
      <c r="Q80" s="4">
        <f t="shared" si="24"/>
        <v>44411514.549340904</v>
      </c>
      <c r="R80" s="4">
        <f t="shared" si="24"/>
        <v>9252398864.4460144</v>
      </c>
      <c r="S80" s="4">
        <f t="shared" si="24"/>
        <v>-555143931.86676073</v>
      </c>
      <c r="T80" s="3"/>
      <c r="U80" s="4">
        <f t="shared" si="22"/>
        <v>6649807.9424186796</v>
      </c>
      <c r="V80">
        <f t="shared" si="23"/>
        <v>500160050515.12274</v>
      </c>
      <c r="W80" s="7">
        <v>0.45999999999999996</v>
      </c>
    </row>
    <row r="81" spans="1:23" x14ac:dyDescent="0.5">
      <c r="A81" s="3">
        <v>5</v>
      </c>
      <c r="B81" s="5">
        <v>0.14276568503201001</v>
      </c>
      <c r="C81" s="3">
        <v>5</v>
      </c>
      <c r="D81" s="3">
        <v>25</v>
      </c>
      <c r="E81" s="3">
        <v>0.05</v>
      </c>
      <c r="F81" s="3">
        <f t="shared" si="16"/>
        <v>2.3817145262624893</v>
      </c>
      <c r="G81" s="5">
        <v>0.3</v>
      </c>
      <c r="H81" s="4">
        <v>15000000</v>
      </c>
      <c r="I81" s="4">
        <f t="shared" si="14"/>
        <v>2141485.2754801502</v>
      </c>
      <c r="J81" s="3">
        <v>210000000000</v>
      </c>
      <c r="K81" s="4">
        <f t="shared" si="15"/>
        <v>7.4300844883289363E-2</v>
      </c>
      <c r="L81" s="6">
        <f t="shared" si="17"/>
        <v>1.8575211220822341</v>
      </c>
      <c r="M81" s="4">
        <f t="shared" si="18"/>
        <v>1480300.2608543038</v>
      </c>
      <c r="N81" s="4">
        <f t="shared" si="19"/>
        <v>185037532.60678798</v>
      </c>
      <c r="O81" s="4">
        <f t="shared" si="20"/>
        <v>38549485959.747498</v>
      </c>
      <c r="P81" s="4">
        <f t="shared" si="21"/>
        <v>-2312969157.5848498</v>
      </c>
      <c r="Q81" s="4">
        <f t="shared" si="24"/>
        <v>39251073.670233965</v>
      </c>
      <c r="R81" s="4">
        <f t="shared" si="24"/>
        <v>8177307014.6320801</v>
      </c>
      <c r="S81" s="4">
        <f t="shared" si="24"/>
        <v>-490638420.87792444</v>
      </c>
      <c r="T81" s="3"/>
      <c r="U81" s="4">
        <f t="shared" si="22"/>
        <v>5567861.7162483912</v>
      </c>
      <c r="V81">
        <f t="shared" si="23"/>
        <v>500160050515.12274</v>
      </c>
      <c r="W81" s="7">
        <v>0.54999999999999993</v>
      </c>
    </row>
    <row r="82" spans="1:23" x14ac:dyDescent="0.5">
      <c r="A82" s="3">
        <v>5</v>
      </c>
      <c r="B82" s="5">
        <v>0.11907810498975674</v>
      </c>
      <c r="C82" s="3">
        <v>5</v>
      </c>
      <c r="D82" s="3">
        <v>25</v>
      </c>
      <c r="E82" s="3">
        <v>0.05</v>
      </c>
      <c r="F82" s="3">
        <f t="shared" si="16"/>
        <v>2.3817145262624893</v>
      </c>
      <c r="G82" s="5">
        <v>0.3</v>
      </c>
      <c r="H82" s="4">
        <v>15000000</v>
      </c>
      <c r="I82" s="4">
        <f t="shared" si="14"/>
        <v>1786171.5748463511</v>
      </c>
      <c r="J82" s="3">
        <v>210000000000</v>
      </c>
      <c r="K82" s="4">
        <f t="shared" si="15"/>
        <v>7.4300844883289363E-2</v>
      </c>
      <c r="L82" s="6">
        <f t="shared" si="17"/>
        <v>1.8575211220822341</v>
      </c>
      <c r="M82" s="4">
        <f t="shared" si="18"/>
        <v>1216163.3277762174</v>
      </c>
      <c r="N82" s="4">
        <f t="shared" si="19"/>
        <v>152020415.97202718</v>
      </c>
      <c r="O82" s="4">
        <f t="shared" si="20"/>
        <v>31670919994.172329</v>
      </c>
      <c r="P82" s="4">
        <f t="shared" si="21"/>
        <v>-1900255199.6503398</v>
      </c>
      <c r="Q82" s="4">
        <f t="shared" si="24"/>
        <v>33017116.634760797</v>
      </c>
      <c r="R82" s="4">
        <f t="shared" si="24"/>
        <v>6878565965.5751686</v>
      </c>
      <c r="S82" s="4">
        <f t="shared" si="24"/>
        <v>-412713957.93450999</v>
      </c>
      <c r="T82" s="3"/>
      <c r="U82" s="4">
        <f t="shared" si="22"/>
        <v>4644046.0946005126</v>
      </c>
      <c r="V82">
        <f t="shared" si="23"/>
        <v>500160050515.12274</v>
      </c>
      <c r="W82" s="7">
        <v>0.6399999999999999</v>
      </c>
    </row>
    <row r="83" spans="1:23" x14ac:dyDescent="0.5">
      <c r="A83" s="3">
        <v>5</v>
      </c>
      <c r="B83" s="5">
        <v>9.8804951076397793E-2</v>
      </c>
      <c r="C83" s="3">
        <v>5</v>
      </c>
      <c r="D83" s="3">
        <v>25</v>
      </c>
      <c r="E83" s="3">
        <v>0.05</v>
      </c>
      <c r="F83" s="3">
        <f t="shared" si="16"/>
        <v>2.3817145262624893</v>
      </c>
      <c r="G83" s="5">
        <v>0.3</v>
      </c>
      <c r="H83" s="4">
        <v>15000000</v>
      </c>
      <c r="I83" s="4">
        <f t="shared" si="14"/>
        <v>1482074.2661459669</v>
      </c>
      <c r="J83" s="3">
        <v>210000000000</v>
      </c>
      <c r="K83" s="4">
        <f t="shared" si="15"/>
        <v>7.4300844883289363E-2</v>
      </c>
      <c r="L83" s="6">
        <f t="shared" si="17"/>
        <v>1.8575211220822341</v>
      </c>
      <c r="M83" s="4">
        <f t="shared" si="18"/>
        <v>993537.49696359702</v>
      </c>
      <c r="N83" s="4">
        <f t="shared" si="19"/>
        <v>124192187.12044963</v>
      </c>
      <c r="O83" s="4">
        <f t="shared" si="20"/>
        <v>25873372316.760342</v>
      </c>
      <c r="P83" s="4">
        <f t="shared" si="21"/>
        <v>-1552402339.0056205</v>
      </c>
      <c r="Q83" s="4">
        <f t="shared" si="24"/>
        <v>27828228.85157755</v>
      </c>
      <c r="R83" s="4">
        <f t="shared" si="24"/>
        <v>5797547677.4119873</v>
      </c>
      <c r="S83" s="4">
        <f t="shared" si="24"/>
        <v>-347852860.64471936</v>
      </c>
      <c r="T83" s="3"/>
      <c r="U83" s="4">
        <f t="shared" si="22"/>
        <v>3853393.0919795143</v>
      </c>
      <c r="V83">
        <f t="shared" si="23"/>
        <v>500160050515.12274</v>
      </c>
      <c r="W83" s="7">
        <v>0.72999999999999987</v>
      </c>
    </row>
    <row r="84" spans="1:23" x14ac:dyDescent="0.5">
      <c r="A84" s="3">
        <v>5</v>
      </c>
      <c r="B84" s="5">
        <v>7.8104993675629536E-2</v>
      </c>
      <c r="C84" s="3">
        <v>5</v>
      </c>
      <c r="D84" s="3">
        <v>25</v>
      </c>
      <c r="E84" s="3">
        <v>0.05</v>
      </c>
      <c r="F84" s="3">
        <f t="shared" si="16"/>
        <v>2.3817145262624893</v>
      </c>
      <c r="G84" s="5">
        <v>0.3</v>
      </c>
      <c r="H84" s="4">
        <v>15000000</v>
      </c>
      <c r="I84" s="4">
        <f t="shared" si="14"/>
        <v>1171574.905134443</v>
      </c>
      <c r="J84" s="3">
        <v>210000000000</v>
      </c>
      <c r="K84" s="4">
        <f t="shared" si="15"/>
        <v>7.4300844883289363E-2</v>
      </c>
      <c r="L84" s="6">
        <f t="shared" si="17"/>
        <v>1.8575211220822341</v>
      </c>
      <c r="M84" s="4">
        <f t="shared" si="18"/>
        <v>770151.26132110646</v>
      </c>
      <c r="N84" s="4">
        <f t="shared" si="19"/>
        <v>96268907.665138304</v>
      </c>
      <c r="O84" s="4">
        <f t="shared" si="20"/>
        <v>20056022430.237148</v>
      </c>
      <c r="P84" s="4">
        <f t="shared" si="21"/>
        <v>-1203361345.8142288</v>
      </c>
      <c r="Q84" s="4">
        <f t="shared" si="24"/>
        <v>27923279.455311328</v>
      </c>
      <c r="R84" s="4">
        <f t="shared" si="24"/>
        <v>5817349886.5231934</v>
      </c>
      <c r="S84" s="4">
        <f t="shared" si="24"/>
        <v>-349040993.19139171</v>
      </c>
      <c r="T84" s="3"/>
      <c r="U84" s="4">
        <f t="shared" si="22"/>
        <v>3046094.7533495519</v>
      </c>
      <c r="V84">
        <f t="shared" si="23"/>
        <v>500160050515.12274</v>
      </c>
      <c r="W84" s="7">
        <v>0.81999999999999984</v>
      </c>
    </row>
    <row r="85" spans="1:23" x14ac:dyDescent="0.5">
      <c r="A85" s="3">
        <v>5</v>
      </c>
      <c r="B85" s="5">
        <v>6.1673068647460527E-2</v>
      </c>
      <c r="C85" s="3">
        <v>5</v>
      </c>
      <c r="D85" s="3">
        <v>25</v>
      </c>
      <c r="E85" s="3">
        <v>0.05</v>
      </c>
      <c r="F85" s="3">
        <f t="shared" si="16"/>
        <v>2.3817145262624893</v>
      </c>
      <c r="G85" s="5">
        <v>0.3</v>
      </c>
      <c r="H85" s="4">
        <v>15000000</v>
      </c>
      <c r="I85" s="4">
        <f t="shared" si="14"/>
        <v>925096.02971190796</v>
      </c>
      <c r="J85" s="3">
        <v>210000000000</v>
      </c>
      <c r="K85" s="4">
        <f t="shared" si="15"/>
        <v>7.4300844883289363E-2</v>
      </c>
      <c r="L85" s="6">
        <f t="shared" si="17"/>
        <v>1.8575211220822341</v>
      </c>
      <c r="M85" s="4">
        <f t="shared" si="18"/>
        <v>596271.68121348298</v>
      </c>
      <c r="N85" s="4">
        <f t="shared" si="19"/>
        <v>74533960.151685372</v>
      </c>
      <c r="O85" s="4">
        <f t="shared" si="20"/>
        <v>15527908364.934454</v>
      </c>
      <c r="P85" s="4">
        <f t="shared" si="21"/>
        <v>-931674501.89606726</v>
      </c>
      <c r="Q85" s="4">
        <f t="shared" si="24"/>
        <v>21734947.513452932</v>
      </c>
      <c r="R85" s="4">
        <f t="shared" si="24"/>
        <v>4528114065.3026943</v>
      </c>
      <c r="S85" s="4">
        <f t="shared" si="24"/>
        <v>-271686843.91816151</v>
      </c>
      <c r="T85" s="3"/>
      <c r="U85" s="4">
        <f t="shared" si="22"/>
        <v>2405249.6772509608</v>
      </c>
      <c r="V85">
        <f t="shared" si="23"/>
        <v>500160050515.12274</v>
      </c>
      <c r="W85" s="7">
        <v>0.90999999999999981</v>
      </c>
    </row>
    <row r="86" spans="1:23" x14ac:dyDescent="0.5">
      <c r="A86" s="3">
        <v>5</v>
      </c>
      <c r="B86" s="5">
        <v>4.8655569837814661E-2</v>
      </c>
      <c r="C86" s="3">
        <v>5</v>
      </c>
      <c r="D86" s="3">
        <v>25</v>
      </c>
      <c r="E86" s="3">
        <v>0.05</v>
      </c>
      <c r="F86" s="3">
        <f t="shared" si="16"/>
        <v>2.3817145262624893</v>
      </c>
      <c r="G86" s="5">
        <v>0.3</v>
      </c>
      <c r="H86" s="4">
        <v>15000000</v>
      </c>
      <c r="I86" s="4">
        <f t="shared" si="14"/>
        <v>729833.54756721994</v>
      </c>
      <c r="J86" s="3">
        <v>210000000000</v>
      </c>
      <c r="K86" s="4">
        <f t="shared" si="15"/>
        <v>7.4300844883289363E-2</v>
      </c>
      <c r="L86" s="6">
        <f t="shared" si="17"/>
        <v>1.8575211220822341</v>
      </c>
      <c r="M86" s="4">
        <f t="shared" si="18"/>
        <v>461212.36222044082</v>
      </c>
      <c r="N86" s="4">
        <f t="shared" si="19"/>
        <v>57651545.277555101</v>
      </c>
      <c r="O86" s="4">
        <f t="shared" si="20"/>
        <v>12010738599.490646</v>
      </c>
      <c r="P86" s="4">
        <f t="shared" si="21"/>
        <v>-720644315.96943879</v>
      </c>
      <c r="Q86" s="4">
        <f t="shared" si="24"/>
        <v>16882414.874130271</v>
      </c>
      <c r="R86" s="4">
        <f t="shared" si="24"/>
        <v>3517169765.4438076</v>
      </c>
      <c r="S86" s="4">
        <f t="shared" si="24"/>
        <v>-211030185.92662847</v>
      </c>
      <c r="T86" s="3"/>
      <c r="U86" s="4">
        <f t="shared" si="22"/>
        <v>1897567.2236747718</v>
      </c>
      <c r="V86">
        <f t="shared" si="23"/>
        <v>500160050515.12274</v>
      </c>
      <c r="W86" s="7">
        <v>1</v>
      </c>
    </row>
    <row r="87" spans="1:23" x14ac:dyDescent="0.5">
      <c r="A87" s="3">
        <v>5</v>
      </c>
      <c r="B87" s="5">
        <v>4.3960734333333334E-2</v>
      </c>
      <c r="C87" s="3">
        <v>5</v>
      </c>
      <c r="D87" s="3">
        <v>25</v>
      </c>
      <c r="E87" s="3">
        <v>0.05</v>
      </c>
      <c r="F87" s="3">
        <f t="shared" si="16"/>
        <v>2.3817145262624893</v>
      </c>
      <c r="G87" s="5">
        <v>0.3</v>
      </c>
      <c r="H87" s="4">
        <v>15000000</v>
      </c>
      <c r="I87" s="4">
        <f t="shared" si="14"/>
        <v>659411.01500000001</v>
      </c>
      <c r="J87" s="3">
        <v>210000000000</v>
      </c>
      <c r="K87" s="4">
        <f t="shared" si="15"/>
        <v>7.4300844883289363E-2</v>
      </c>
      <c r="L87" s="6">
        <f t="shared" si="17"/>
        <v>1.8575211220822341</v>
      </c>
      <c r="M87" s="4">
        <f t="shared" si="18"/>
        <v>413200.6657573047</v>
      </c>
      <c r="N87" s="4">
        <f t="shared" si="19"/>
        <v>51650083.219663091</v>
      </c>
      <c r="O87" s="4">
        <f t="shared" si="20"/>
        <v>10760434004.096476</v>
      </c>
      <c r="P87" s="4">
        <f t="shared" si="21"/>
        <v>-645626040.24578857</v>
      </c>
      <c r="Q87" s="4">
        <f t="shared" si="24"/>
        <v>6001462.0578920096</v>
      </c>
      <c r="R87" s="4">
        <f t="shared" si="24"/>
        <v>1250304595.3941708</v>
      </c>
      <c r="S87" s="4">
        <f t="shared" si="24"/>
        <v>-75018275.723650217</v>
      </c>
      <c r="T87" s="3"/>
      <c r="U87" s="4">
        <f t="shared" si="22"/>
        <v>1714468.6390000002</v>
      </c>
      <c r="V87">
        <f t="shared" si="23"/>
        <v>500160050515.12274</v>
      </c>
      <c r="W87" s="7">
        <v>1.9</v>
      </c>
    </row>
    <row r="88" spans="1:23" x14ac:dyDescent="0.5">
      <c r="A88" s="3">
        <v>5</v>
      </c>
      <c r="B88" s="5">
        <v>3.9906103666666665E-2</v>
      </c>
      <c r="C88" s="3">
        <v>5</v>
      </c>
      <c r="D88" s="3">
        <v>25</v>
      </c>
      <c r="E88" s="3">
        <v>0.05</v>
      </c>
      <c r="F88" s="3">
        <f t="shared" si="16"/>
        <v>2.3817145262624893</v>
      </c>
      <c r="G88" s="5">
        <v>0.3</v>
      </c>
      <c r="H88" s="4">
        <v>15000000</v>
      </c>
      <c r="I88" s="4">
        <f t="shared" si="14"/>
        <v>598591.55499999993</v>
      </c>
      <c r="J88" s="3">
        <v>210000000000</v>
      </c>
      <c r="K88" s="4">
        <f t="shared" si="15"/>
        <v>7.4300844883289363E-2</v>
      </c>
      <c r="L88" s="6">
        <f t="shared" si="17"/>
        <v>1.8575211220822341</v>
      </c>
      <c r="M88" s="4">
        <f t="shared" si="18"/>
        <v>372077.37817258423</v>
      </c>
      <c r="N88" s="4">
        <f t="shared" si="19"/>
        <v>46509672.271573029</v>
      </c>
      <c r="O88" s="4">
        <f t="shared" si="20"/>
        <v>9689515056.5777149</v>
      </c>
      <c r="P88" s="4">
        <f t="shared" si="21"/>
        <v>-581370903.39466286</v>
      </c>
      <c r="Q88" s="4">
        <f t="shared" si="24"/>
        <v>5140410.9480900615</v>
      </c>
      <c r="R88" s="4">
        <f t="shared" si="24"/>
        <v>1070918947.5187607</v>
      </c>
      <c r="S88" s="4">
        <f t="shared" si="24"/>
        <v>-64255136.851125717</v>
      </c>
      <c r="T88" s="3"/>
      <c r="U88" s="4">
        <f t="shared" si="22"/>
        <v>1556338.0429999998</v>
      </c>
      <c r="V88">
        <f t="shared" si="23"/>
        <v>500160050515.12274</v>
      </c>
      <c r="W88" s="7">
        <v>2.8</v>
      </c>
    </row>
    <row r="89" spans="1:23" x14ac:dyDescent="0.5">
      <c r="A89" s="3">
        <v>5</v>
      </c>
      <c r="B89" s="5">
        <v>3.5638070666666667E-2</v>
      </c>
      <c r="C89" s="3">
        <v>5</v>
      </c>
      <c r="D89" s="3">
        <v>25</v>
      </c>
      <c r="E89" s="3">
        <v>0.05</v>
      </c>
      <c r="F89" s="3">
        <f t="shared" si="16"/>
        <v>2.3817145262624893</v>
      </c>
      <c r="G89" s="5">
        <v>0.3</v>
      </c>
      <c r="H89" s="4">
        <v>15000000</v>
      </c>
      <c r="I89" s="4">
        <f t="shared" si="14"/>
        <v>534571.06000000006</v>
      </c>
      <c r="J89" s="3">
        <v>210000000000</v>
      </c>
      <c r="K89" s="4">
        <f t="shared" si="15"/>
        <v>7.4300844883289363E-2</v>
      </c>
      <c r="L89" s="6">
        <f t="shared" si="17"/>
        <v>1.8575211220822341</v>
      </c>
      <c r="M89" s="4">
        <f t="shared" si="18"/>
        <v>329165.53971998044</v>
      </c>
      <c r="N89" s="4">
        <f t="shared" si="19"/>
        <v>41145692.464997552</v>
      </c>
      <c r="O89" s="4">
        <f t="shared" si="20"/>
        <v>8572019263.5411568</v>
      </c>
      <c r="P89" s="4">
        <f t="shared" si="21"/>
        <v>-514321155.81246942</v>
      </c>
      <c r="Q89" s="4">
        <f t="shared" si="24"/>
        <v>5363979.8065754771</v>
      </c>
      <c r="R89" s="4">
        <f t="shared" si="24"/>
        <v>1117495793.0365582</v>
      </c>
      <c r="S89" s="4">
        <f t="shared" si="24"/>
        <v>-67049747.582193434</v>
      </c>
      <c r="T89" s="3"/>
      <c r="U89" s="4">
        <f t="shared" si="22"/>
        <v>1389884.7560000003</v>
      </c>
      <c r="V89">
        <f t="shared" si="23"/>
        <v>500160050515.12274</v>
      </c>
      <c r="W89" s="7">
        <v>3.6999999999999997</v>
      </c>
    </row>
    <row r="90" spans="1:23" x14ac:dyDescent="0.5">
      <c r="A90" s="3">
        <v>10</v>
      </c>
      <c r="B90" s="3">
        <v>1</v>
      </c>
      <c r="C90" s="3">
        <v>5</v>
      </c>
      <c r="D90" s="3">
        <v>30</v>
      </c>
      <c r="E90" s="3">
        <v>5.5E-2</v>
      </c>
      <c r="F90" s="3">
        <f t="shared" si="16"/>
        <v>2.6120115584149359</v>
      </c>
      <c r="G90" s="5">
        <v>0.35</v>
      </c>
      <c r="H90" s="4">
        <v>20000000</v>
      </c>
      <c r="I90" s="4">
        <f>B90*$H$90</f>
        <v>20000000</v>
      </c>
      <c r="J90" s="3">
        <v>210000000000</v>
      </c>
      <c r="K90" s="4">
        <f>(($M$90*C90)/(4*J90*F90))^(1/4)</f>
        <v>8.068662985464975E-2</v>
      </c>
      <c r="L90" s="6">
        <f t="shared" si="17"/>
        <v>2.4205988956394924</v>
      </c>
      <c r="M90" s="4">
        <f t="shared" si="18"/>
        <v>18599046.512083884</v>
      </c>
      <c r="N90" s="4">
        <f t="shared" si="19"/>
        <v>2789856976.812583</v>
      </c>
      <c r="O90" s="4">
        <f t="shared" si="20"/>
        <v>836957093043.7749</v>
      </c>
      <c r="P90" s="4">
        <f t="shared" si="21"/>
        <v>-41847854652.188744</v>
      </c>
      <c r="Q90" s="4">
        <f>N90</f>
        <v>2789856976.812583</v>
      </c>
      <c r="R90" s="4">
        <f t="shared" ref="R90:S90" si="25">O90</f>
        <v>836957093043.7749</v>
      </c>
      <c r="S90" s="4">
        <f t="shared" si="25"/>
        <v>-41847854652.188744</v>
      </c>
      <c r="T90" s="3"/>
      <c r="U90" s="4">
        <f t="shared" si="22"/>
        <v>54000000</v>
      </c>
      <c r="V90">
        <f t="shared" si="23"/>
        <v>548522427267.13654</v>
      </c>
    </row>
    <row r="91" spans="1:23" x14ac:dyDescent="0.5">
      <c r="A91" s="3">
        <v>10</v>
      </c>
      <c r="B91" s="3">
        <v>1</v>
      </c>
      <c r="C91" s="3">
        <v>5</v>
      </c>
      <c r="D91" s="3">
        <v>30</v>
      </c>
      <c r="E91" s="3">
        <v>5.5E-2</v>
      </c>
      <c r="F91" s="3">
        <f t="shared" si="16"/>
        <v>2.6120115584149359</v>
      </c>
      <c r="G91" s="5">
        <v>0.35</v>
      </c>
      <c r="H91" s="4">
        <v>20000000</v>
      </c>
      <c r="I91" s="4">
        <f t="shared" ref="I91:I133" si="26">B91*$H$90</f>
        <v>20000000</v>
      </c>
      <c r="J91" s="3">
        <v>210000000000</v>
      </c>
      <c r="K91" s="4">
        <f t="shared" ref="K91:K133" si="27">(($M$90*C91)/(4*J91*F91))^(1/4)</f>
        <v>8.068662985464975E-2</v>
      </c>
      <c r="L91" s="6">
        <f t="shared" si="17"/>
        <v>2.4205988956394924</v>
      </c>
      <c r="M91" s="4">
        <f t="shared" si="18"/>
        <v>18599046.512083884</v>
      </c>
      <c r="N91" s="4">
        <f t="shared" si="19"/>
        <v>2789856976.812583</v>
      </c>
      <c r="O91" s="4">
        <f t="shared" si="20"/>
        <v>836957093043.7749</v>
      </c>
      <c r="P91" s="4">
        <f t="shared" si="21"/>
        <v>-41847854652.188744</v>
      </c>
      <c r="Q91" s="4">
        <f t="shared" si="24"/>
        <v>0</v>
      </c>
      <c r="R91" s="4">
        <f t="shared" si="24"/>
        <v>0</v>
      </c>
      <c r="S91" s="4">
        <f t="shared" si="24"/>
        <v>0</v>
      </c>
      <c r="T91" s="3"/>
      <c r="U91" s="4">
        <f t="shared" si="22"/>
        <v>54000000</v>
      </c>
      <c r="V91">
        <f t="shared" si="23"/>
        <v>548522427267.13654</v>
      </c>
    </row>
    <row r="92" spans="1:23" x14ac:dyDescent="0.5">
      <c r="A92" s="3">
        <v>10</v>
      </c>
      <c r="B92" s="3">
        <v>1</v>
      </c>
      <c r="C92" s="3">
        <v>5</v>
      </c>
      <c r="D92" s="3">
        <v>30</v>
      </c>
      <c r="E92" s="3">
        <v>5.5E-2</v>
      </c>
      <c r="F92" s="3">
        <f t="shared" si="16"/>
        <v>2.6120115584149359</v>
      </c>
      <c r="G92" s="5">
        <v>0.35</v>
      </c>
      <c r="H92" s="4">
        <v>20000000</v>
      </c>
      <c r="I92" s="4">
        <f t="shared" si="26"/>
        <v>20000000</v>
      </c>
      <c r="J92" s="3">
        <v>210000000000</v>
      </c>
      <c r="K92" s="4">
        <f t="shared" si="27"/>
        <v>8.068662985464975E-2</v>
      </c>
      <c r="L92" s="6">
        <f t="shared" si="17"/>
        <v>2.4205988956394924</v>
      </c>
      <c r="M92" s="4">
        <f t="shared" si="18"/>
        <v>18599046.512083884</v>
      </c>
      <c r="N92" s="4">
        <f t="shared" si="19"/>
        <v>2789856976.812583</v>
      </c>
      <c r="O92" s="4">
        <f t="shared" si="20"/>
        <v>836957093043.7749</v>
      </c>
      <c r="P92" s="4">
        <f t="shared" si="21"/>
        <v>-41847854652.188744</v>
      </c>
      <c r="Q92" s="4">
        <f t="shared" si="24"/>
        <v>0</v>
      </c>
      <c r="R92" s="4">
        <f t="shared" si="24"/>
        <v>0</v>
      </c>
      <c r="S92" s="4">
        <f t="shared" si="24"/>
        <v>0</v>
      </c>
      <c r="T92" s="3"/>
      <c r="U92" s="4">
        <f t="shared" si="22"/>
        <v>54000000</v>
      </c>
      <c r="V92">
        <f t="shared" si="23"/>
        <v>548522427267.13654</v>
      </c>
    </row>
    <row r="93" spans="1:23" x14ac:dyDescent="0.5">
      <c r="A93" s="3">
        <v>10</v>
      </c>
      <c r="B93" s="3">
        <v>1</v>
      </c>
      <c r="C93" s="3">
        <v>5</v>
      </c>
      <c r="D93" s="3">
        <v>30</v>
      </c>
      <c r="E93" s="3">
        <v>5.5E-2</v>
      </c>
      <c r="F93" s="3">
        <f t="shared" si="16"/>
        <v>2.6120115584149359</v>
      </c>
      <c r="G93" s="5">
        <v>0.35</v>
      </c>
      <c r="H93" s="4">
        <v>20000000</v>
      </c>
      <c r="I93" s="4">
        <f t="shared" si="26"/>
        <v>20000000</v>
      </c>
      <c r="J93" s="3">
        <v>210000000000</v>
      </c>
      <c r="K93" s="4">
        <f t="shared" si="27"/>
        <v>8.068662985464975E-2</v>
      </c>
      <c r="L93" s="6">
        <f t="shared" si="17"/>
        <v>2.4205988956394924</v>
      </c>
      <c r="M93" s="4">
        <f t="shared" si="18"/>
        <v>18599046.512083884</v>
      </c>
      <c r="N93" s="4">
        <f t="shared" si="19"/>
        <v>2789856976.812583</v>
      </c>
      <c r="O93" s="4">
        <f t="shared" si="20"/>
        <v>836957093043.7749</v>
      </c>
      <c r="P93" s="4">
        <f t="shared" si="21"/>
        <v>-41847854652.188744</v>
      </c>
      <c r="Q93" s="4">
        <f t="shared" si="24"/>
        <v>0</v>
      </c>
      <c r="R93" s="4">
        <f t="shared" si="24"/>
        <v>0</v>
      </c>
      <c r="S93" s="4">
        <f t="shared" si="24"/>
        <v>0</v>
      </c>
      <c r="T93" s="3"/>
      <c r="U93" s="4">
        <f t="shared" si="22"/>
        <v>54000000</v>
      </c>
      <c r="V93">
        <f t="shared" si="23"/>
        <v>548522427267.13654</v>
      </c>
    </row>
    <row r="94" spans="1:23" x14ac:dyDescent="0.5">
      <c r="A94" s="3">
        <v>10</v>
      </c>
      <c r="B94" s="3">
        <v>1</v>
      </c>
      <c r="C94" s="3">
        <v>5</v>
      </c>
      <c r="D94" s="3">
        <v>30</v>
      </c>
      <c r="E94" s="3">
        <v>5.5E-2</v>
      </c>
      <c r="F94" s="3">
        <f t="shared" si="16"/>
        <v>2.6120115584149359</v>
      </c>
      <c r="G94" s="5">
        <v>0.35</v>
      </c>
      <c r="H94" s="4">
        <v>20000000</v>
      </c>
      <c r="I94" s="4">
        <f t="shared" si="26"/>
        <v>20000000</v>
      </c>
      <c r="J94" s="3">
        <v>210000000000</v>
      </c>
      <c r="K94" s="4">
        <f t="shared" si="27"/>
        <v>8.068662985464975E-2</v>
      </c>
      <c r="L94" s="6">
        <f t="shared" si="17"/>
        <v>2.4205988956394924</v>
      </c>
      <c r="M94" s="4">
        <f t="shared" si="18"/>
        <v>18599046.512083884</v>
      </c>
      <c r="N94" s="4">
        <f t="shared" si="19"/>
        <v>2789856976.812583</v>
      </c>
      <c r="O94" s="4">
        <f t="shared" si="20"/>
        <v>836957093043.7749</v>
      </c>
      <c r="P94" s="4">
        <f t="shared" si="21"/>
        <v>-41847854652.188744</v>
      </c>
      <c r="Q94" s="4">
        <f t="shared" si="24"/>
        <v>0</v>
      </c>
      <c r="R94" s="4">
        <f t="shared" si="24"/>
        <v>0</v>
      </c>
      <c r="S94" s="4">
        <f t="shared" si="24"/>
        <v>0</v>
      </c>
      <c r="T94" s="3"/>
      <c r="U94" s="4">
        <f t="shared" si="22"/>
        <v>54000000</v>
      </c>
      <c r="V94">
        <f t="shared" si="23"/>
        <v>548522427267.13654</v>
      </c>
    </row>
    <row r="95" spans="1:23" x14ac:dyDescent="0.5">
      <c r="A95" s="3">
        <v>10</v>
      </c>
      <c r="B95" s="3">
        <v>1</v>
      </c>
      <c r="C95" s="3">
        <v>5</v>
      </c>
      <c r="D95" s="3">
        <v>30</v>
      </c>
      <c r="E95" s="3">
        <v>5.5E-2</v>
      </c>
      <c r="F95" s="3">
        <f t="shared" si="16"/>
        <v>2.6120115584149359</v>
      </c>
      <c r="G95" s="5">
        <v>0.35</v>
      </c>
      <c r="H95" s="4">
        <v>20000000</v>
      </c>
      <c r="I95" s="4">
        <f t="shared" si="26"/>
        <v>20000000</v>
      </c>
      <c r="J95" s="3">
        <v>210000000000</v>
      </c>
      <c r="K95" s="4">
        <f t="shared" si="27"/>
        <v>8.068662985464975E-2</v>
      </c>
      <c r="L95" s="6">
        <f t="shared" si="17"/>
        <v>2.4205988956394924</v>
      </c>
      <c r="M95" s="4">
        <f t="shared" si="18"/>
        <v>18599046.512083884</v>
      </c>
      <c r="N95" s="4">
        <f t="shared" si="19"/>
        <v>2789856976.812583</v>
      </c>
      <c r="O95" s="4">
        <f t="shared" si="20"/>
        <v>836957093043.7749</v>
      </c>
      <c r="P95" s="4">
        <f t="shared" si="21"/>
        <v>-41847854652.188744</v>
      </c>
      <c r="Q95" s="4">
        <f t="shared" si="24"/>
        <v>0</v>
      </c>
      <c r="R95" s="4">
        <f t="shared" si="24"/>
        <v>0</v>
      </c>
      <c r="S95" s="4">
        <f t="shared" si="24"/>
        <v>0</v>
      </c>
      <c r="T95" s="3"/>
      <c r="U95" s="4">
        <f t="shared" si="22"/>
        <v>54000000</v>
      </c>
      <c r="V95">
        <f t="shared" si="23"/>
        <v>548522427267.13654</v>
      </c>
    </row>
    <row r="96" spans="1:23" x14ac:dyDescent="0.5">
      <c r="A96" s="3">
        <v>10</v>
      </c>
      <c r="B96" s="3">
        <v>1</v>
      </c>
      <c r="C96" s="3">
        <v>5</v>
      </c>
      <c r="D96" s="3">
        <v>30</v>
      </c>
      <c r="E96" s="3">
        <v>5.5E-2</v>
      </c>
      <c r="F96" s="3">
        <f t="shared" si="16"/>
        <v>2.6120115584149359</v>
      </c>
      <c r="G96" s="5">
        <v>0.35</v>
      </c>
      <c r="H96" s="4">
        <v>20000000</v>
      </c>
      <c r="I96" s="4">
        <f t="shared" si="26"/>
        <v>20000000</v>
      </c>
      <c r="J96" s="3">
        <v>210000000000</v>
      </c>
      <c r="K96" s="4">
        <f t="shared" si="27"/>
        <v>8.068662985464975E-2</v>
      </c>
      <c r="L96" s="6">
        <f t="shared" si="17"/>
        <v>2.4205988956394924</v>
      </c>
      <c r="M96" s="4">
        <f t="shared" si="18"/>
        <v>18599046.512083884</v>
      </c>
      <c r="N96" s="4">
        <f t="shared" si="19"/>
        <v>2789856976.812583</v>
      </c>
      <c r="O96" s="4">
        <f t="shared" si="20"/>
        <v>836957093043.7749</v>
      </c>
      <c r="P96" s="4">
        <f t="shared" si="21"/>
        <v>-41847854652.188744</v>
      </c>
      <c r="Q96" s="4">
        <f t="shared" si="24"/>
        <v>0</v>
      </c>
      <c r="R96" s="4">
        <f t="shared" si="24"/>
        <v>0</v>
      </c>
      <c r="S96" s="4">
        <f t="shared" si="24"/>
        <v>0</v>
      </c>
      <c r="T96" s="3"/>
      <c r="U96" s="4">
        <f t="shared" si="22"/>
        <v>54000000</v>
      </c>
      <c r="V96">
        <f t="shared" si="23"/>
        <v>548522427267.13654</v>
      </c>
    </row>
    <row r="97" spans="1:22" x14ac:dyDescent="0.5">
      <c r="A97" s="3">
        <v>10</v>
      </c>
      <c r="B97" s="3">
        <v>1</v>
      </c>
      <c r="C97" s="3">
        <v>5</v>
      </c>
      <c r="D97" s="3">
        <v>30</v>
      </c>
      <c r="E97" s="3">
        <v>5.5E-2</v>
      </c>
      <c r="F97" s="3">
        <f t="shared" si="16"/>
        <v>2.6120115584149359</v>
      </c>
      <c r="G97" s="5">
        <v>0.35</v>
      </c>
      <c r="H97" s="4">
        <v>20000000</v>
      </c>
      <c r="I97" s="4">
        <f t="shared" si="26"/>
        <v>20000000</v>
      </c>
      <c r="J97" s="3">
        <v>210000000000</v>
      </c>
      <c r="K97" s="4">
        <f t="shared" si="27"/>
        <v>8.068662985464975E-2</v>
      </c>
      <c r="L97" s="6">
        <f t="shared" si="17"/>
        <v>2.4205988956394924</v>
      </c>
      <c r="M97" s="4">
        <f t="shared" si="18"/>
        <v>18599046.512083884</v>
      </c>
      <c r="N97" s="4">
        <f t="shared" si="19"/>
        <v>2789856976.812583</v>
      </c>
      <c r="O97" s="4">
        <f t="shared" si="20"/>
        <v>836957093043.7749</v>
      </c>
      <c r="P97" s="4">
        <f t="shared" si="21"/>
        <v>-41847854652.188744</v>
      </c>
      <c r="Q97" s="4">
        <f t="shared" si="24"/>
        <v>0</v>
      </c>
      <c r="R97" s="4">
        <f t="shared" si="24"/>
        <v>0</v>
      </c>
      <c r="S97" s="4">
        <f t="shared" si="24"/>
        <v>0</v>
      </c>
      <c r="T97" s="3"/>
      <c r="U97" s="4">
        <f t="shared" si="22"/>
        <v>54000000</v>
      </c>
      <c r="V97">
        <f t="shared" si="23"/>
        <v>548522427267.13654</v>
      </c>
    </row>
    <row r="98" spans="1:22" x14ac:dyDescent="0.5">
      <c r="A98" s="3">
        <v>10</v>
      </c>
      <c r="B98" s="3">
        <v>0.99573196756295335</v>
      </c>
      <c r="C98" s="3">
        <v>5</v>
      </c>
      <c r="D98" s="3">
        <v>30</v>
      </c>
      <c r="E98" s="3">
        <v>5.5E-2</v>
      </c>
      <c r="F98" s="3">
        <f t="shared" si="16"/>
        <v>2.6120115584149359</v>
      </c>
      <c r="G98" s="5">
        <v>0.35</v>
      </c>
      <c r="H98" s="4">
        <v>20000000</v>
      </c>
      <c r="I98" s="4">
        <f t="shared" si="26"/>
        <v>19914639.351259068</v>
      </c>
      <c r="J98" s="3">
        <v>210000000000</v>
      </c>
      <c r="K98" s="4">
        <f t="shared" si="27"/>
        <v>8.068662985464975E-2</v>
      </c>
      <c r="L98" s="6">
        <f t="shared" si="17"/>
        <v>2.4205988956394924</v>
      </c>
      <c r="M98" s="4">
        <f t="shared" si="18"/>
        <v>18513065.380256902</v>
      </c>
      <c r="N98" s="4">
        <f t="shared" si="19"/>
        <v>2776959807.0385356</v>
      </c>
      <c r="O98" s="4">
        <f t="shared" si="20"/>
        <v>833087942111.56067</v>
      </c>
      <c r="P98" s="4">
        <f t="shared" si="21"/>
        <v>-41654397105.578033</v>
      </c>
      <c r="Q98" s="4">
        <f t="shared" si="24"/>
        <v>12897169.774047375</v>
      </c>
      <c r="R98" s="4">
        <f t="shared" si="24"/>
        <v>3869150932.2142334</v>
      </c>
      <c r="S98" s="4">
        <f t="shared" si="24"/>
        <v>-193457546.61071014</v>
      </c>
      <c r="T98" s="3"/>
      <c r="U98" s="4">
        <f t="shared" si="22"/>
        <v>53769526.248399489</v>
      </c>
      <c r="V98">
        <f t="shared" si="23"/>
        <v>548522427267.13654</v>
      </c>
    </row>
    <row r="99" spans="1:22" x14ac:dyDescent="0.5">
      <c r="A99" s="3">
        <v>10</v>
      </c>
      <c r="B99" s="3">
        <v>0.99231754161331598</v>
      </c>
      <c r="C99" s="3">
        <v>5</v>
      </c>
      <c r="D99" s="3">
        <v>30</v>
      </c>
      <c r="E99" s="3">
        <v>5.5E-2</v>
      </c>
      <c r="F99" s="3">
        <f t="shared" si="16"/>
        <v>2.6120115584149359</v>
      </c>
      <c r="G99" s="5">
        <v>0.35</v>
      </c>
      <c r="H99" s="4">
        <v>20000000</v>
      </c>
      <c r="I99" s="4">
        <f t="shared" si="26"/>
        <v>19846350.83226632</v>
      </c>
      <c r="J99" s="3">
        <v>210000000000</v>
      </c>
      <c r="K99" s="4">
        <f t="shared" si="27"/>
        <v>8.068662985464975E-2</v>
      </c>
      <c r="L99" s="6">
        <f t="shared" si="17"/>
        <v>2.4205988956394924</v>
      </c>
      <c r="M99" s="4">
        <f t="shared" si="18"/>
        <v>18444302.577703491</v>
      </c>
      <c r="N99" s="4">
        <f t="shared" si="19"/>
        <v>2766645386.6555238</v>
      </c>
      <c r="O99" s="4">
        <f t="shared" si="20"/>
        <v>829993615996.6571</v>
      </c>
      <c r="P99" s="4">
        <f t="shared" si="21"/>
        <v>-41499680799.832855</v>
      </c>
      <c r="Q99" s="4">
        <f t="shared" si="24"/>
        <v>10314420.383011818</v>
      </c>
      <c r="R99" s="4">
        <f t="shared" si="24"/>
        <v>3094326114.9035645</v>
      </c>
      <c r="S99" s="4">
        <f t="shared" si="24"/>
        <v>-154716305.74517822</v>
      </c>
      <c r="T99" s="3"/>
      <c r="U99" s="4">
        <f t="shared" si="22"/>
        <v>53585147.247119069</v>
      </c>
      <c r="V99">
        <f t="shared" si="23"/>
        <v>548522427267.13654</v>
      </c>
    </row>
    <row r="100" spans="1:22" x14ac:dyDescent="0.5">
      <c r="A100" s="3">
        <v>10</v>
      </c>
      <c r="B100" s="3">
        <v>0.98676909975330762</v>
      </c>
      <c r="C100" s="3">
        <v>5</v>
      </c>
      <c r="D100" s="3">
        <v>30</v>
      </c>
      <c r="E100" s="3">
        <v>5.5E-2</v>
      </c>
      <c r="F100" s="3">
        <f t="shared" si="16"/>
        <v>2.6120115584149359</v>
      </c>
      <c r="G100" s="5">
        <v>0.35</v>
      </c>
      <c r="H100" s="4">
        <v>20000000</v>
      </c>
      <c r="I100" s="4">
        <f t="shared" si="26"/>
        <v>19735381.995066151</v>
      </c>
      <c r="J100" s="3">
        <v>210000000000</v>
      </c>
      <c r="K100" s="4">
        <f t="shared" si="27"/>
        <v>8.068662985464975E-2</v>
      </c>
      <c r="L100" s="6">
        <f t="shared" si="17"/>
        <v>2.4205988956394924</v>
      </c>
      <c r="M100" s="4">
        <f t="shared" si="18"/>
        <v>18332605.104031164</v>
      </c>
      <c r="N100" s="4">
        <f t="shared" si="19"/>
        <v>2749890765.6046743</v>
      </c>
      <c r="O100" s="4">
        <f t="shared" si="20"/>
        <v>824967229681.40234</v>
      </c>
      <c r="P100" s="4">
        <f t="shared" si="21"/>
        <v>-41248361484.070114</v>
      </c>
      <c r="Q100" s="4">
        <f t="shared" si="24"/>
        <v>16754621.050849438</v>
      </c>
      <c r="R100" s="4">
        <f t="shared" si="24"/>
        <v>5026386315.2547607</v>
      </c>
      <c r="S100" s="4">
        <f t="shared" si="24"/>
        <v>-251319315.76274109</v>
      </c>
      <c r="T100" s="3"/>
      <c r="U100" s="4">
        <f t="shared" si="22"/>
        <v>53285531.386678614</v>
      </c>
      <c r="V100">
        <f t="shared" si="23"/>
        <v>548522427267.13654</v>
      </c>
    </row>
    <row r="101" spans="1:22" x14ac:dyDescent="0.5">
      <c r="A101" s="3">
        <v>10</v>
      </c>
      <c r="B101" s="3">
        <v>0.9771660263610753</v>
      </c>
      <c r="C101" s="3">
        <v>5</v>
      </c>
      <c r="D101" s="3">
        <v>30</v>
      </c>
      <c r="E101" s="3">
        <v>5.5E-2</v>
      </c>
      <c r="F101" s="3">
        <f t="shared" si="16"/>
        <v>2.6120115584149359</v>
      </c>
      <c r="G101" s="5">
        <v>0.35</v>
      </c>
      <c r="H101" s="4">
        <v>20000000</v>
      </c>
      <c r="I101" s="4">
        <f t="shared" si="26"/>
        <v>19543320.527221505</v>
      </c>
      <c r="J101" s="3">
        <v>210000000000</v>
      </c>
      <c r="K101" s="4">
        <f t="shared" si="27"/>
        <v>8.068662985464975E-2</v>
      </c>
      <c r="L101" s="6">
        <f t="shared" si="17"/>
        <v>2.4205988956394924</v>
      </c>
      <c r="M101" s="4">
        <f t="shared" si="18"/>
        <v>18139406.345631048</v>
      </c>
      <c r="N101" s="4">
        <f t="shared" si="19"/>
        <v>2720910951.8446574</v>
      </c>
      <c r="O101" s="4">
        <f t="shared" si="20"/>
        <v>816273285553.39709</v>
      </c>
      <c r="P101" s="4">
        <f t="shared" si="21"/>
        <v>-40813664277.669861</v>
      </c>
      <c r="Q101" s="4">
        <f t="shared" si="24"/>
        <v>28979813.760016918</v>
      </c>
      <c r="R101" s="4">
        <f t="shared" si="24"/>
        <v>8693944128.005249</v>
      </c>
      <c r="S101" s="4">
        <f t="shared" si="24"/>
        <v>-434697206.4002533</v>
      </c>
      <c r="T101" s="3"/>
      <c r="U101" s="4">
        <f t="shared" si="22"/>
        <v>52766965.423498064</v>
      </c>
      <c r="V101">
        <f t="shared" si="23"/>
        <v>548522427267.13654</v>
      </c>
    </row>
    <row r="102" spans="1:22" x14ac:dyDescent="0.5">
      <c r="A102" s="3">
        <v>10</v>
      </c>
      <c r="B102" s="3">
        <v>0.9671361503021767</v>
      </c>
      <c r="C102" s="3">
        <v>5</v>
      </c>
      <c r="D102" s="3">
        <v>30</v>
      </c>
      <c r="E102" s="3">
        <v>5.5E-2</v>
      </c>
      <c r="F102" s="3">
        <f t="shared" si="16"/>
        <v>2.6120115584149359</v>
      </c>
      <c r="G102" s="5">
        <v>0.35</v>
      </c>
      <c r="H102" s="4">
        <v>20000000</v>
      </c>
      <c r="I102" s="4">
        <f t="shared" si="26"/>
        <v>19342723.006043535</v>
      </c>
      <c r="J102" s="3">
        <v>210000000000</v>
      </c>
      <c r="K102" s="4">
        <f t="shared" si="27"/>
        <v>8.068662985464975E-2</v>
      </c>
      <c r="L102" s="6">
        <f t="shared" si="17"/>
        <v>2.4205988956394924</v>
      </c>
      <c r="M102" s="4">
        <f t="shared" si="18"/>
        <v>17937789.869469445</v>
      </c>
      <c r="N102" s="4">
        <f t="shared" si="19"/>
        <v>2690668480.4204168</v>
      </c>
      <c r="O102" s="4">
        <f t="shared" si="20"/>
        <v>807200544126.125</v>
      </c>
      <c r="P102" s="4">
        <f t="shared" si="21"/>
        <v>-40360027206.306252</v>
      </c>
      <c r="Q102" s="4">
        <f t="shared" si="24"/>
        <v>30242471.424240589</v>
      </c>
      <c r="R102" s="4">
        <f t="shared" si="24"/>
        <v>9072741427.2720947</v>
      </c>
      <c r="S102" s="4">
        <f t="shared" si="24"/>
        <v>-453637071.36360931</v>
      </c>
      <c r="T102" s="3"/>
      <c r="U102" s="4">
        <f t="shared" si="22"/>
        <v>52225352.116317548</v>
      </c>
      <c r="V102">
        <f t="shared" si="23"/>
        <v>548522427267.13654</v>
      </c>
    </row>
    <row r="103" spans="1:22" x14ac:dyDescent="0.5">
      <c r="A103" s="3">
        <v>10</v>
      </c>
      <c r="B103" s="3">
        <v>0.95411865117883032</v>
      </c>
      <c r="C103" s="3">
        <v>5</v>
      </c>
      <c r="D103" s="3">
        <v>30</v>
      </c>
      <c r="E103" s="3">
        <v>5.5E-2</v>
      </c>
      <c r="F103" s="3">
        <f t="shared" si="16"/>
        <v>2.6120115584149359</v>
      </c>
      <c r="G103" s="5">
        <v>0.35</v>
      </c>
      <c r="H103" s="4">
        <v>20000000</v>
      </c>
      <c r="I103" s="4">
        <f t="shared" si="26"/>
        <v>19082373.023576606</v>
      </c>
      <c r="J103" s="3">
        <v>210000000000</v>
      </c>
      <c r="K103" s="4">
        <f t="shared" si="27"/>
        <v>8.068662985464975E-2</v>
      </c>
      <c r="L103" s="6">
        <f t="shared" si="17"/>
        <v>2.4205988956394924</v>
      </c>
      <c r="M103" s="4">
        <f t="shared" si="18"/>
        <v>17676377.377248641</v>
      </c>
      <c r="N103" s="4">
        <f t="shared" si="19"/>
        <v>2651456606.5872965</v>
      </c>
      <c r="O103" s="4">
        <f t="shared" si="20"/>
        <v>795436981976.18884</v>
      </c>
      <c r="P103" s="4">
        <f t="shared" si="21"/>
        <v>-39771849098.809441</v>
      </c>
      <c r="Q103" s="4">
        <f t="shared" si="24"/>
        <v>39211873.833120346</v>
      </c>
      <c r="R103" s="4">
        <f t="shared" si="24"/>
        <v>11763562149.936157</v>
      </c>
      <c r="S103" s="4">
        <f t="shared" si="24"/>
        <v>-588178107.49681091</v>
      </c>
      <c r="T103" s="3"/>
      <c r="U103" s="4">
        <f t="shared" si="22"/>
        <v>51522407.163656838</v>
      </c>
      <c r="V103">
        <f t="shared" si="23"/>
        <v>548522427267.13654</v>
      </c>
    </row>
    <row r="104" spans="1:22" x14ac:dyDescent="0.5">
      <c r="A104" s="3">
        <v>10</v>
      </c>
      <c r="B104" s="3">
        <v>0.93747332461288935</v>
      </c>
      <c r="C104" s="3">
        <v>5</v>
      </c>
      <c r="D104" s="3">
        <v>30</v>
      </c>
      <c r="E104" s="3">
        <v>5.5E-2</v>
      </c>
      <c r="F104" s="3">
        <f t="shared" si="16"/>
        <v>2.6120115584149359</v>
      </c>
      <c r="G104" s="5">
        <v>0.35</v>
      </c>
      <c r="H104" s="4">
        <v>20000000</v>
      </c>
      <c r="I104" s="4">
        <f t="shared" si="26"/>
        <v>18749466.492257789</v>
      </c>
      <c r="J104" s="3">
        <v>210000000000</v>
      </c>
      <c r="K104" s="4">
        <f t="shared" si="27"/>
        <v>8.068662985464975E-2</v>
      </c>
      <c r="L104" s="6">
        <f t="shared" si="17"/>
        <v>2.4205988956394924</v>
      </c>
      <c r="M104" s="4">
        <f t="shared" si="18"/>
        <v>17342545.502859846</v>
      </c>
      <c r="N104" s="4">
        <f t="shared" si="19"/>
        <v>2601381825.428977</v>
      </c>
      <c r="O104" s="4">
        <f t="shared" si="20"/>
        <v>780414547628.69299</v>
      </c>
      <c r="P104" s="4">
        <f t="shared" si="21"/>
        <v>-39020727381.434654</v>
      </c>
      <c r="Q104" s="4">
        <f t="shared" si="24"/>
        <v>50074781.158319473</v>
      </c>
      <c r="R104" s="4">
        <f t="shared" si="24"/>
        <v>15022434347.49585</v>
      </c>
      <c r="S104" s="4">
        <f t="shared" si="24"/>
        <v>-751121717.37478638</v>
      </c>
      <c r="T104" s="3"/>
      <c r="U104" s="4">
        <f t="shared" si="22"/>
        <v>50623559.52909603</v>
      </c>
      <c r="V104">
        <f t="shared" si="23"/>
        <v>548522427267.13654</v>
      </c>
    </row>
    <row r="105" spans="1:22" x14ac:dyDescent="0.5">
      <c r="A105" s="3">
        <v>10</v>
      </c>
      <c r="B105" s="3">
        <v>0.91848058051472459</v>
      </c>
      <c r="C105" s="3">
        <v>5</v>
      </c>
      <c r="D105" s="3">
        <v>30</v>
      </c>
      <c r="E105" s="3">
        <v>5.5E-2</v>
      </c>
      <c r="F105" s="3">
        <f t="shared" si="16"/>
        <v>2.6120115584149359</v>
      </c>
      <c r="G105" s="5">
        <v>0.35</v>
      </c>
      <c r="H105" s="4">
        <v>20000000</v>
      </c>
      <c r="I105" s="4">
        <f t="shared" si="26"/>
        <v>18369611.610294491</v>
      </c>
      <c r="J105" s="3">
        <v>210000000000</v>
      </c>
      <c r="K105" s="4">
        <f t="shared" si="27"/>
        <v>8.068662985464975E-2</v>
      </c>
      <c r="L105" s="6">
        <f t="shared" si="17"/>
        <v>2.4205988956394924</v>
      </c>
      <c r="M105" s="4">
        <f t="shared" si="18"/>
        <v>16962238.177886769</v>
      </c>
      <c r="N105" s="4">
        <f t="shared" si="19"/>
        <v>2544335726.6830153</v>
      </c>
      <c r="O105" s="4">
        <f t="shared" si="20"/>
        <v>763300718004.90466</v>
      </c>
      <c r="P105" s="4">
        <f t="shared" si="21"/>
        <v>-38165035900.245232</v>
      </c>
      <c r="Q105" s="4">
        <f t="shared" si="24"/>
        <v>57046098.745961666</v>
      </c>
      <c r="R105" s="4">
        <f t="shared" si="24"/>
        <v>17113829623.78833</v>
      </c>
      <c r="S105" s="4">
        <f t="shared" si="24"/>
        <v>-855691481.18942261</v>
      </c>
      <c r="T105" s="3"/>
      <c r="U105" s="4">
        <f t="shared" si="22"/>
        <v>49597951.347795129</v>
      </c>
      <c r="V105">
        <f t="shared" si="23"/>
        <v>548522427267.13654</v>
      </c>
    </row>
    <row r="106" spans="1:22" x14ac:dyDescent="0.5">
      <c r="A106" s="3">
        <v>10</v>
      </c>
      <c r="B106" s="3">
        <v>0.89714041839692693</v>
      </c>
      <c r="C106" s="3">
        <v>5</v>
      </c>
      <c r="D106" s="3">
        <v>30</v>
      </c>
      <c r="E106" s="3">
        <v>5.5E-2</v>
      </c>
      <c r="F106" s="3">
        <f t="shared" si="16"/>
        <v>2.6120115584149359</v>
      </c>
      <c r="G106" s="5">
        <v>0.35</v>
      </c>
      <c r="H106" s="4">
        <v>20000000</v>
      </c>
      <c r="I106" s="4">
        <f t="shared" si="26"/>
        <v>17942808.367938537</v>
      </c>
      <c r="J106" s="3">
        <v>210000000000</v>
      </c>
      <c r="K106" s="4">
        <f t="shared" si="27"/>
        <v>8.068662985464975E-2</v>
      </c>
      <c r="L106" s="6">
        <f t="shared" si="17"/>
        <v>2.4205988956394924</v>
      </c>
      <c r="M106" s="4">
        <f t="shared" si="18"/>
        <v>16535708.418835465</v>
      </c>
      <c r="N106" s="4">
        <f t="shared" si="19"/>
        <v>2480356262.8253198</v>
      </c>
      <c r="O106" s="4">
        <f t="shared" si="20"/>
        <v>744106878847.59583</v>
      </c>
      <c r="P106" s="4">
        <f t="shared" si="21"/>
        <v>-37205343942.379791</v>
      </c>
      <c r="Q106" s="4">
        <f t="shared" si="24"/>
        <v>63979463.85769558</v>
      </c>
      <c r="R106" s="4">
        <f t="shared" si="24"/>
        <v>19193839157.308838</v>
      </c>
      <c r="S106" s="4">
        <f t="shared" si="24"/>
        <v>-959691957.86544037</v>
      </c>
      <c r="T106" s="3"/>
      <c r="U106" s="4">
        <f t="shared" si="22"/>
        <v>48445582.593434051</v>
      </c>
      <c r="V106">
        <f t="shared" si="23"/>
        <v>548522427267.13654</v>
      </c>
    </row>
    <row r="107" spans="1:22" x14ac:dyDescent="0.5">
      <c r="A107" s="3">
        <v>10</v>
      </c>
      <c r="B107" s="3">
        <v>0.87366623979171998</v>
      </c>
      <c r="C107" s="3">
        <v>5</v>
      </c>
      <c r="D107" s="3">
        <v>30</v>
      </c>
      <c r="E107" s="3">
        <v>5.5E-2</v>
      </c>
      <c r="F107" s="3">
        <f t="shared" si="16"/>
        <v>2.6120115584149359</v>
      </c>
      <c r="G107" s="5">
        <v>0.35</v>
      </c>
      <c r="H107" s="4">
        <v>20000000</v>
      </c>
      <c r="I107" s="4">
        <f t="shared" si="26"/>
        <v>17473324.7958344</v>
      </c>
      <c r="J107" s="3">
        <v>210000000000</v>
      </c>
      <c r="K107" s="4">
        <f t="shared" si="27"/>
        <v>8.068662985464975E-2</v>
      </c>
      <c r="L107" s="6">
        <f t="shared" si="17"/>
        <v>2.4205988956394924</v>
      </c>
      <c r="M107" s="4">
        <f t="shared" si="18"/>
        <v>16067502.051467285</v>
      </c>
      <c r="N107" s="4">
        <f t="shared" si="19"/>
        <v>2410125307.7200928</v>
      </c>
      <c r="O107" s="4">
        <f t="shared" si="20"/>
        <v>723037592316.02783</v>
      </c>
      <c r="P107" s="4">
        <f t="shared" si="21"/>
        <v>-36151879615.801392</v>
      </c>
      <c r="Q107" s="4">
        <f t="shared" si="24"/>
        <v>70230955.105226994</v>
      </c>
      <c r="R107" s="4">
        <f t="shared" si="24"/>
        <v>21069286531.567993</v>
      </c>
      <c r="S107" s="4">
        <f t="shared" si="24"/>
        <v>-1053464326.5783997</v>
      </c>
      <c r="T107" s="3"/>
      <c r="U107" s="4">
        <f t="shared" si="22"/>
        <v>47177976.94875288</v>
      </c>
      <c r="V107">
        <f t="shared" si="23"/>
        <v>548522427267.13654</v>
      </c>
    </row>
    <row r="108" spans="1:22" x14ac:dyDescent="0.5">
      <c r="A108" s="3">
        <v>10</v>
      </c>
      <c r="B108" s="3">
        <v>0.84720443869910367</v>
      </c>
      <c r="C108" s="3">
        <v>5</v>
      </c>
      <c r="D108" s="3">
        <v>30</v>
      </c>
      <c r="E108" s="3">
        <v>5.5E-2</v>
      </c>
      <c r="F108" s="3">
        <f t="shared" si="16"/>
        <v>2.6120115584149359</v>
      </c>
      <c r="G108" s="5">
        <v>0.35</v>
      </c>
      <c r="H108" s="4">
        <v>20000000</v>
      </c>
      <c r="I108" s="4">
        <f t="shared" si="26"/>
        <v>16944088.773982074</v>
      </c>
      <c r="J108" s="3">
        <v>210000000000</v>
      </c>
      <c r="K108" s="4">
        <f t="shared" si="27"/>
        <v>8.068662985464975E-2</v>
      </c>
      <c r="L108" s="6">
        <f t="shared" si="17"/>
        <v>2.4205988956394924</v>
      </c>
      <c r="M108" s="4">
        <f t="shared" si="18"/>
        <v>15540962.822479978</v>
      </c>
      <c r="N108" s="4">
        <f t="shared" si="19"/>
        <v>2331144423.3719969</v>
      </c>
      <c r="O108" s="4">
        <f t="shared" si="20"/>
        <v>699343327011.599</v>
      </c>
      <c r="P108" s="4">
        <f t="shared" si="21"/>
        <v>-34967166350.579948</v>
      </c>
      <c r="Q108" s="4">
        <f t="shared" si="24"/>
        <v>78980884.348095894</v>
      </c>
      <c r="R108" s="4">
        <f t="shared" si="24"/>
        <v>23694265304.428833</v>
      </c>
      <c r="S108" s="4">
        <f t="shared" si="24"/>
        <v>-1184713265.2214432</v>
      </c>
      <c r="T108" s="3"/>
      <c r="U108" s="4">
        <f t="shared" si="22"/>
        <v>45749039.689751603</v>
      </c>
      <c r="V108">
        <f t="shared" si="23"/>
        <v>548522427267.13654</v>
      </c>
    </row>
    <row r="109" spans="1:22" x14ac:dyDescent="0.5">
      <c r="A109" s="3">
        <v>10</v>
      </c>
      <c r="B109" s="3">
        <v>0.82010243274093031</v>
      </c>
      <c r="C109" s="3">
        <v>5</v>
      </c>
      <c r="D109" s="3">
        <v>30</v>
      </c>
      <c r="E109" s="3">
        <v>5.5E-2</v>
      </c>
      <c r="F109" s="3">
        <f t="shared" si="16"/>
        <v>2.6120115584149359</v>
      </c>
      <c r="G109" s="5">
        <v>0.35</v>
      </c>
      <c r="H109" s="4">
        <v>20000000</v>
      </c>
      <c r="I109" s="4">
        <f t="shared" si="26"/>
        <v>16402048.654818606</v>
      </c>
      <c r="J109" s="3">
        <v>210000000000</v>
      </c>
      <c r="K109" s="4">
        <f t="shared" si="27"/>
        <v>8.068662985464975E-2</v>
      </c>
      <c r="L109" s="6">
        <f t="shared" si="17"/>
        <v>2.4205988956394924</v>
      </c>
      <c r="M109" s="4">
        <f t="shared" si="18"/>
        <v>15003104.089895166</v>
      </c>
      <c r="N109" s="4">
        <f t="shared" si="19"/>
        <v>2250465613.4842749</v>
      </c>
      <c r="O109" s="4">
        <f t="shared" si="20"/>
        <v>675139684045.28235</v>
      </c>
      <c r="P109" s="4">
        <f t="shared" si="21"/>
        <v>-33756984202.264122</v>
      </c>
      <c r="Q109" s="4">
        <f t="shared" si="24"/>
        <v>80678809.887722015</v>
      </c>
      <c r="R109" s="4">
        <f t="shared" si="24"/>
        <v>24203642966.31665</v>
      </c>
      <c r="S109" s="4">
        <f t="shared" si="24"/>
        <v>-1210182148.3158264</v>
      </c>
      <c r="T109" s="3"/>
      <c r="U109" s="4">
        <f t="shared" si="22"/>
        <v>44285531.368010238</v>
      </c>
      <c r="V109">
        <f t="shared" si="23"/>
        <v>548522427267.13654</v>
      </c>
    </row>
    <row r="110" spans="1:22" x14ac:dyDescent="0.5">
      <c r="A110" s="3">
        <v>10</v>
      </c>
      <c r="B110" s="3">
        <v>0.78595817303200999</v>
      </c>
      <c r="C110" s="3">
        <v>5</v>
      </c>
      <c r="D110" s="3">
        <v>30</v>
      </c>
      <c r="E110" s="3">
        <v>5.5E-2</v>
      </c>
      <c r="F110" s="3">
        <f t="shared" si="16"/>
        <v>2.6120115584149359</v>
      </c>
      <c r="G110" s="5">
        <v>0.35</v>
      </c>
      <c r="H110" s="4">
        <v>20000000</v>
      </c>
      <c r="I110" s="4">
        <f t="shared" si="26"/>
        <v>15719163.460640199</v>
      </c>
      <c r="J110" s="3">
        <v>210000000000</v>
      </c>
      <c r="K110" s="4">
        <f t="shared" si="27"/>
        <v>8.068662985464975E-2</v>
      </c>
      <c r="L110" s="6">
        <f t="shared" si="17"/>
        <v>2.4205988956394924</v>
      </c>
      <c r="M110" s="4">
        <f t="shared" si="18"/>
        <v>14327598.444365192</v>
      </c>
      <c r="N110" s="4">
        <f t="shared" si="19"/>
        <v>2149139766.6547785</v>
      </c>
      <c r="O110" s="4">
        <f t="shared" si="20"/>
        <v>644741929996.43359</v>
      </c>
      <c r="P110" s="4">
        <f t="shared" si="21"/>
        <v>-32237096499.821682</v>
      </c>
      <c r="Q110" s="4">
        <f t="shared" si="24"/>
        <v>101325846.82949638</v>
      </c>
      <c r="R110" s="4">
        <f t="shared" si="24"/>
        <v>30397754048.848755</v>
      </c>
      <c r="S110" s="4">
        <f t="shared" si="24"/>
        <v>-1519887702.44244</v>
      </c>
      <c r="T110" s="3"/>
      <c r="U110" s="4">
        <f t="shared" si="22"/>
        <v>42441741.343728542</v>
      </c>
      <c r="V110">
        <f t="shared" si="23"/>
        <v>548522427267.13654</v>
      </c>
    </row>
    <row r="111" spans="1:22" x14ac:dyDescent="0.5">
      <c r="A111" s="3">
        <v>10</v>
      </c>
      <c r="B111" s="3">
        <v>0.74989329912419966</v>
      </c>
      <c r="C111" s="3">
        <v>5</v>
      </c>
      <c r="D111" s="3">
        <v>30</v>
      </c>
      <c r="E111" s="3">
        <v>5.5E-2</v>
      </c>
      <c r="F111" s="3">
        <f t="shared" si="16"/>
        <v>2.6120115584149359</v>
      </c>
      <c r="G111" s="5">
        <v>0.35</v>
      </c>
      <c r="H111" s="4">
        <v>20000000</v>
      </c>
      <c r="I111" s="4">
        <f t="shared" si="26"/>
        <v>14997865.982483992</v>
      </c>
      <c r="J111" s="3">
        <v>210000000000</v>
      </c>
      <c r="K111" s="4">
        <f t="shared" si="27"/>
        <v>8.068662985464975E-2</v>
      </c>
      <c r="L111" s="6">
        <f t="shared" si="17"/>
        <v>2.4205988956394924</v>
      </c>
      <c r="M111" s="4">
        <f t="shared" si="18"/>
        <v>13616749.334176689</v>
      </c>
      <c r="N111" s="4">
        <f t="shared" si="19"/>
        <v>2042512400.1265035</v>
      </c>
      <c r="O111" s="4">
        <f t="shared" si="20"/>
        <v>612753720037.95105</v>
      </c>
      <c r="P111" s="4">
        <f t="shared" si="21"/>
        <v>-30637686001.897552</v>
      </c>
      <c r="Q111" s="4">
        <f t="shared" si="24"/>
        <v>106627366.52827501</v>
      </c>
      <c r="R111" s="4">
        <f t="shared" si="24"/>
        <v>31988209958.482544</v>
      </c>
      <c r="S111" s="4">
        <f t="shared" si="24"/>
        <v>-1599410497.9241295</v>
      </c>
      <c r="T111" s="3"/>
      <c r="U111" s="4">
        <f t="shared" si="22"/>
        <v>40494238.15270678</v>
      </c>
      <c r="V111">
        <f t="shared" si="23"/>
        <v>548522427267.13654</v>
      </c>
    </row>
    <row r="112" spans="1:22" x14ac:dyDescent="0.5">
      <c r="A112" s="3">
        <v>10</v>
      </c>
      <c r="B112" s="3">
        <v>0.71340162188305567</v>
      </c>
      <c r="C112" s="3">
        <v>5</v>
      </c>
      <c r="D112" s="3">
        <v>30</v>
      </c>
      <c r="E112" s="3">
        <v>5.5E-2</v>
      </c>
      <c r="F112" s="3">
        <f t="shared" si="16"/>
        <v>2.6120115584149359</v>
      </c>
      <c r="G112" s="5">
        <v>0.35</v>
      </c>
      <c r="H112" s="4">
        <v>20000000</v>
      </c>
      <c r="I112" s="4">
        <f t="shared" si="26"/>
        <v>14268032.437661113</v>
      </c>
      <c r="J112" s="3">
        <v>210000000000</v>
      </c>
      <c r="K112" s="4">
        <f t="shared" si="27"/>
        <v>8.068662985464975E-2</v>
      </c>
      <c r="L112" s="6">
        <f t="shared" si="17"/>
        <v>2.4205988956394924</v>
      </c>
      <c r="M112" s="4">
        <f t="shared" si="18"/>
        <v>12900383.285223171</v>
      </c>
      <c r="N112" s="4">
        <f t="shared" si="19"/>
        <v>1935057492.7834756</v>
      </c>
      <c r="O112" s="4">
        <f t="shared" si="20"/>
        <v>580517247835.04272</v>
      </c>
      <c r="P112" s="4">
        <f t="shared" si="21"/>
        <v>-29025862391.752136</v>
      </c>
      <c r="Q112" s="4">
        <f t="shared" si="24"/>
        <v>107454907.34302783</v>
      </c>
      <c r="R112" s="4">
        <f t="shared" si="24"/>
        <v>32236472202.908325</v>
      </c>
      <c r="S112" s="4">
        <f t="shared" si="24"/>
        <v>-1611823610.1454163</v>
      </c>
      <c r="T112" s="3"/>
      <c r="U112" s="4">
        <f t="shared" si="22"/>
        <v>38523687.581685007</v>
      </c>
      <c r="V112">
        <f t="shared" si="23"/>
        <v>548522427267.13654</v>
      </c>
    </row>
    <row r="113" spans="1:22" x14ac:dyDescent="0.5">
      <c r="A113" s="3">
        <v>10</v>
      </c>
      <c r="B113" s="3">
        <v>0.67776355130857868</v>
      </c>
      <c r="C113" s="3">
        <v>5</v>
      </c>
      <c r="D113" s="3">
        <v>30</v>
      </c>
      <c r="E113" s="3">
        <v>5.5E-2</v>
      </c>
      <c r="F113" s="3">
        <f t="shared" si="16"/>
        <v>2.6120115584149359</v>
      </c>
      <c r="G113" s="5">
        <v>0.35</v>
      </c>
      <c r="H113" s="4">
        <v>20000000</v>
      </c>
      <c r="I113" s="4">
        <f t="shared" si="26"/>
        <v>13555271.026171574</v>
      </c>
      <c r="J113" s="3">
        <v>210000000000</v>
      </c>
      <c r="K113" s="4">
        <f t="shared" si="27"/>
        <v>8.068662985464975E-2</v>
      </c>
      <c r="L113" s="6">
        <f t="shared" si="17"/>
        <v>2.4205988956394924</v>
      </c>
      <c r="M113" s="4">
        <f t="shared" si="18"/>
        <v>12203715.493362993</v>
      </c>
      <c r="N113" s="4">
        <f t="shared" si="19"/>
        <v>1830557324.0044489</v>
      </c>
      <c r="O113" s="4">
        <f t="shared" si="20"/>
        <v>549167197201.33472</v>
      </c>
      <c r="P113" s="4">
        <f t="shared" si="21"/>
        <v>-27458359860.066734</v>
      </c>
      <c r="Q113" s="4">
        <f t="shared" si="24"/>
        <v>104500168.77902675</v>
      </c>
      <c r="R113" s="4">
        <f t="shared" si="24"/>
        <v>31350050633.708008</v>
      </c>
      <c r="S113" s="4">
        <f t="shared" si="24"/>
        <v>-1567502531.6854019</v>
      </c>
      <c r="T113" s="3"/>
      <c r="U113" s="4">
        <f t="shared" si="22"/>
        <v>36599231.770663254</v>
      </c>
      <c r="V113">
        <f t="shared" si="23"/>
        <v>548522427267.13654</v>
      </c>
    </row>
    <row r="114" spans="1:22" x14ac:dyDescent="0.5">
      <c r="A114" s="3">
        <v>10</v>
      </c>
      <c r="B114" s="3">
        <v>0.63743064433632068</v>
      </c>
      <c r="C114" s="3">
        <v>5</v>
      </c>
      <c r="D114" s="3">
        <v>30</v>
      </c>
      <c r="E114" s="3">
        <v>5.5E-2</v>
      </c>
      <c r="F114" s="3">
        <f t="shared" si="16"/>
        <v>2.6120115584149359</v>
      </c>
      <c r="G114" s="5">
        <v>0.35</v>
      </c>
      <c r="H114" s="4">
        <v>20000000</v>
      </c>
      <c r="I114" s="4">
        <f t="shared" si="26"/>
        <v>12748612.886726413</v>
      </c>
      <c r="J114" s="3">
        <v>210000000000</v>
      </c>
      <c r="K114" s="4">
        <f t="shared" si="27"/>
        <v>8.068662985464975E-2</v>
      </c>
      <c r="L114" s="6">
        <f t="shared" si="17"/>
        <v>2.4205988956394924</v>
      </c>
      <c r="M114" s="4">
        <f t="shared" si="18"/>
        <v>11418955.055739058</v>
      </c>
      <c r="N114" s="4">
        <f t="shared" si="19"/>
        <v>1712843258.3608587</v>
      </c>
      <c r="O114" s="4">
        <f t="shared" si="20"/>
        <v>513852977508.25763</v>
      </c>
      <c r="P114" s="4">
        <f t="shared" si="21"/>
        <v>-25692648875.41288</v>
      </c>
      <c r="Q114" s="4">
        <f t="shared" si="24"/>
        <v>117714065.64359021</v>
      </c>
      <c r="R114" s="4">
        <f t="shared" si="24"/>
        <v>35314219693.077087</v>
      </c>
      <c r="S114" s="4">
        <f t="shared" si="24"/>
        <v>-1765710984.6538544</v>
      </c>
      <c r="T114" s="3"/>
      <c r="U114" s="4">
        <f t="shared" si="22"/>
        <v>34421254.79416132</v>
      </c>
      <c r="V114">
        <f t="shared" si="23"/>
        <v>548522427267.13654</v>
      </c>
    </row>
    <row r="115" spans="1:22" x14ac:dyDescent="0.5">
      <c r="A115" s="3">
        <v>10</v>
      </c>
      <c r="B115" s="3">
        <v>0.59432351698591535</v>
      </c>
      <c r="C115" s="3">
        <v>5</v>
      </c>
      <c r="D115" s="3">
        <v>30</v>
      </c>
      <c r="E115" s="3">
        <v>5.5E-2</v>
      </c>
      <c r="F115" s="3">
        <f t="shared" si="16"/>
        <v>2.6120115584149359</v>
      </c>
      <c r="G115" s="5">
        <v>0.35</v>
      </c>
      <c r="H115" s="4">
        <v>20000000</v>
      </c>
      <c r="I115" s="4">
        <f t="shared" si="26"/>
        <v>11886470.339718306</v>
      </c>
      <c r="J115" s="3">
        <v>210000000000</v>
      </c>
      <c r="K115" s="4">
        <f t="shared" si="27"/>
        <v>8.068662985464975E-2</v>
      </c>
      <c r="L115" s="6">
        <f t="shared" si="17"/>
        <v>2.4205988956394924</v>
      </c>
      <c r="M115" s="4">
        <f t="shared" si="18"/>
        <v>10584788.196203202</v>
      </c>
      <c r="N115" s="4">
        <f t="shared" si="19"/>
        <v>1587718229.4304802</v>
      </c>
      <c r="O115" s="4">
        <f t="shared" si="20"/>
        <v>476315468829.1441</v>
      </c>
      <c r="P115" s="4">
        <f t="shared" si="21"/>
        <v>-23815773441.457203</v>
      </c>
      <c r="Q115" s="4">
        <f t="shared" si="24"/>
        <v>125125028.93037844</v>
      </c>
      <c r="R115" s="4">
        <f t="shared" si="24"/>
        <v>37537508679.113525</v>
      </c>
      <c r="S115" s="4">
        <f t="shared" si="24"/>
        <v>-1876875433.955677</v>
      </c>
      <c r="T115" s="3"/>
      <c r="U115" s="4">
        <f t="shared" si="22"/>
        <v>32093469.917239431</v>
      </c>
      <c r="V115">
        <f t="shared" si="23"/>
        <v>548522427267.13654</v>
      </c>
    </row>
    <row r="116" spans="1:22" x14ac:dyDescent="0.5">
      <c r="A116" s="3">
        <v>10</v>
      </c>
      <c r="B116" s="3">
        <v>0.54801536494921033</v>
      </c>
      <c r="C116" s="3">
        <v>5</v>
      </c>
      <c r="D116" s="3">
        <v>30</v>
      </c>
      <c r="E116" s="3">
        <v>5.5E-2</v>
      </c>
      <c r="F116" s="3">
        <f t="shared" si="16"/>
        <v>2.6120115584149359</v>
      </c>
      <c r="G116" s="5">
        <v>0.35</v>
      </c>
      <c r="H116" s="4">
        <v>20000000</v>
      </c>
      <c r="I116" s="4">
        <f t="shared" si="26"/>
        <v>10960307.298984207</v>
      </c>
      <c r="J116" s="3">
        <v>210000000000</v>
      </c>
      <c r="K116" s="4">
        <f t="shared" si="27"/>
        <v>8.068662985464975E-2</v>
      </c>
      <c r="L116" s="6">
        <f t="shared" si="17"/>
        <v>2.4205988956394924</v>
      </c>
      <c r="M116" s="4">
        <f t="shared" si="18"/>
        <v>9694293.0425023884</v>
      </c>
      <c r="N116" s="4">
        <f t="shared" si="19"/>
        <v>1454143956.3753583</v>
      </c>
      <c r="O116" s="4">
        <f t="shared" si="20"/>
        <v>436243186912.60748</v>
      </c>
      <c r="P116" s="4">
        <f t="shared" si="21"/>
        <v>-21812159345.630375</v>
      </c>
      <c r="Q116" s="4">
        <f t="shared" si="24"/>
        <v>133574273.0551219</v>
      </c>
      <c r="R116" s="4">
        <f t="shared" si="24"/>
        <v>40072281916.536621</v>
      </c>
      <c r="S116" s="4">
        <f t="shared" si="24"/>
        <v>-2003614095.826828</v>
      </c>
      <c r="T116" s="3"/>
      <c r="U116" s="4">
        <f t="shared" si="22"/>
        <v>29592829.70725736</v>
      </c>
      <c r="V116">
        <f t="shared" si="23"/>
        <v>548522427267.13654</v>
      </c>
    </row>
    <row r="117" spans="1:22" x14ac:dyDescent="0.5">
      <c r="A117" s="3">
        <v>10</v>
      </c>
      <c r="B117" s="3">
        <v>0.49914639331028604</v>
      </c>
      <c r="C117" s="3">
        <v>5</v>
      </c>
      <c r="D117" s="3">
        <v>30</v>
      </c>
      <c r="E117" s="3">
        <v>5.5E-2</v>
      </c>
      <c r="F117" s="3">
        <f t="shared" si="16"/>
        <v>2.6120115584149359</v>
      </c>
      <c r="G117" s="5">
        <v>0.35</v>
      </c>
      <c r="H117" s="4">
        <v>20000000</v>
      </c>
      <c r="I117" s="4">
        <f t="shared" si="26"/>
        <v>9982927.8662057202</v>
      </c>
      <c r="J117" s="3">
        <v>210000000000</v>
      </c>
      <c r="K117" s="4">
        <f t="shared" si="27"/>
        <v>8.068662985464975E-2</v>
      </c>
      <c r="L117" s="6">
        <f t="shared" si="17"/>
        <v>2.4205988956394924</v>
      </c>
      <c r="M117" s="4">
        <f t="shared" si="18"/>
        <v>8761348.3060285226</v>
      </c>
      <c r="N117" s="4">
        <f t="shared" si="19"/>
        <v>1314202245.9042783</v>
      </c>
      <c r="O117" s="4">
        <f t="shared" si="20"/>
        <v>394260673771.28351</v>
      </c>
      <c r="P117" s="4">
        <f t="shared" si="21"/>
        <v>-19713033688.564175</v>
      </c>
      <c r="Q117" s="4">
        <f t="shared" si="24"/>
        <v>139941710.47108006</v>
      </c>
      <c r="R117" s="4">
        <f t="shared" si="24"/>
        <v>41982513141.323975</v>
      </c>
      <c r="S117" s="4">
        <f t="shared" si="24"/>
        <v>-2099125657.0662003</v>
      </c>
      <c r="T117" s="3"/>
      <c r="U117" s="4">
        <f t="shared" si="22"/>
        <v>26953905.238755446</v>
      </c>
      <c r="V117">
        <f t="shared" si="23"/>
        <v>548522427267.13654</v>
      </c>
    </row>
    <row r="118" spans="1:22" x14ac:dyDescent="0.5">
      <c r="A118" s="3">
        <v>10</v>
      </c>
      <c r="B118" s="3">
        <v>0.45262483987025165</v>
      </c>
      <c r="C118" s="3">
        <v>5</v>
      </c>
      <c r="D118" s="3">
        <v>30</v>
      </c>
      <c r="E118" s="3">
        <v>5.5E-2</v>
      </c>
      <c r="F118" s="3">
        <f t="shared" si="16"/>
        <v>2.6120115584149359</v>
      </c>
      <c r="G118" s="5">
        <v>0.35</v>
      </c>
      <c r="H118" s="4">
        <v>20000000</v>
      </c>
      <c r="I118" s="4">
        <f t="shared" si="26"/>
        <v>9052496.7974050324</v>
      </c>
      <c r="J118" s="3">
        <v>210000000000</v>
      </c>
      <c r="K118" s="4">
        <f t="shared" si="27"/>
        <v>8.068662985464975E-2</v>
      </c>
      <c r="L118" s="6">
        <f t="shared" si="17"/>
        <v>2.4205988956394924</v>
      </c>
      <c r="M118" s="4">
        <f t="shared" si="18"/>
        <v>7880260.9059545444</v>
      </c>
      <c r="N118" s="4">
        <f t="shared" si="19"/>
        <v>1182039135.8931816</v>
      </c>
      <c r="O118" s="4">
        <f t="shared" si="20"/>
        <v>354611740767.95453</v>
      </c>
      <c r="P118" s="4">
        <f t="shared" si="21"/>
        <v>-17730587038.397724</v>
      </c>
      <c r="Q118" s="4">
        <f t="shared" si="24"/>
        <v>132163110.01109672</v>
      </c>
      <c r="R118" s="4">
        <f t="shared" si="24"/>
        <v>39648933003.328979</v>
      </c>
      <c r="S118" s="4">
        <f t="shared" si="24"/>
        <v>-1982446650.1664505</v>
      </c>
      <c r="T118" s="3"/>
      <c r="U118" s="4">
        <f t="shared" si="22"/>
        <v>24441741.352993589</v>
      </c>
      <c r="V118">
        <f t="shared" si="23"/>
        <v>548522427267.13654</v>
      </c>
    </row>
    <row r="119" spans="1:22" x14ac:dyDescent="0.5">
      <c r="A119" s="3">
        <v>10</v>
      </c>
      <c r="B119" s="3">
        <v>0.40460947529577468</v>
      </c>
      <c r="C119" s="3">
        <v>5</v>
      </c>
      <c r="D119" s="3">
        <v>30</v>
      </c>
      <c r="E119" s="3">
        <v>5.5E-2</v>
      </c>
      <c r="F119" s="3">
        <f t="shared" si="16"/>
        <v>2.6120115584149359</v>
      </c>
      <c r="G119" s="5">
        <v>0.35</v>
      </c>
      <c r="H119" s="4">
        <v>20000000</v>
      </c>
      <c r="I119" s="4">
        <f t="shared" si="26"/>
        <v>8092189.5059154937</v>
      </c>
      <c r="J119" s="3">
        <v>210000000000</v>
      </c>
      <c r="K119" s="4">
        <f t="shared" si="27"/>
        <v>8.068662985464975E-2</v>
      </c>
      <c r="L119" s="6">
        <f t="shared" si="17"/>
        <v>2.4205988956394924</v>
      </c>
      <c r="M119" s="4">
        <f t="shared" si="18"/>
        <v>6978783.6288437517</v>
      </c>
      <c r="N119" s="4">
        <f t="shared" si="19"/>
        <v>1046817544.3265628</v>
      </c>
      <c r="O119" s="4">
        <f t="shared" si="20"/>
        <v>314045263297.96881</v>
      </c>
      <c r="P119" s="4">
        <f t="shared" si="21"/>
        <v>-15702263164.898441</v>
      </c>
      <c r="Q119" s="4">
        <f t="shared" si="24"/>
        <v>135221591.5666188</v>
      </c>
      <c r="R119" s="4">
        <f t="shared" si="24"/>
        <v>40566477469.985718</v>
      </c>
      <c r="S119" s="4">
        <f t="shared" si="24"/>
        <v>-2028323873.4992828</v>
      </c>
      <c r="T119" s="3"/>
      <c r="U119" s="4">
        <f t="shared" si="22"/>
        <v>21848911.665971834</v>
      </c>
      <c r="V119">
        <f t="shared" si="23"/>
        <v>548522427267.13654</v>
      </c>
    </row>
    <row r="120" spans="1:22" x14ac:dyDescent="0.5">
      <c r="A120" s="3">
        <v>10</v>
      </c>
      <c r="B120" s="3">
        <v>0.36320956056167297</v>
      </c>
      <c r="C120" s="3">
        <v>5</v>
      </c>
      <c r="D120" s="3">
        <v>30</v>
      </c>
      <c r="E120" s="3">
        <v>5.5E-2</v>
      </c>
      <c r="F120" s="3">
        <f t="shared" si="16"/>
        <v>2.6120115584149359</v>
      </c>
      <c r="G120" s="5">
        <v>0.35</v>
      </c>
      <c r="H120" s="4">
        <v>20000000</v>
      </c>
      <c r="I120" s="4">
        <f t="shared" si="26"/>
        <v>7264191.2112334594</v>
      </c>
      <c r="J120" s="3">
        <v>210000000000</v>
      </c>
      <c r="K120" s="4">
        <f t="shared" si="27"/>
        <v>8.068662985464975E-2</v>
      </c>
      <c r="L120" s="6">
        <f t="shared" si="17"/>
        <v>2.4205988956394924</v>
      </c>
      <c r="M120" s="4">
        <f t="shared" si="18"/>
        <v>6208610.1634489428</v>
      </c>
      <c r="N120" s="4">
        <f t="shared" si="19"/>
        <v>931291524.51734149</v>
      </c>
      <c r="O120" s="4">
        <f t="shared" si="20"/>
        <v>279387457355.20245</v>
      </c>
      <c r="P120" s="4">
        <f t="shared" si="21"/>
        <v>-13969372867.760122</v>
      </c>
      <c r="Q120" s="4">
        <f t="shared" si="24"/>
        <v>115526019.80922127</v>
      </c>
      <c r="R120" s="4">
        <f t="shared" si="24"/>
        <v>34657805942.766357</v>
      </c>
      <c r="S120" s="4">
        <f t="shared" si="24"/>
        <v>-1732890297.138319</v>
      </c>
      <c r="T120" s="3"/>
      <c r="U120" s="4">
        <f t="shared" si="22"/>
        <v>19613316.270330343</v>
      </c>
      <c r="V120">
        <f t="shared" si="23"/>
        <v>548522427267.13654</v>
      </c>
    </row>
    <row r="121" spans="1:22" x14ac:dyDescent="0.5">
      <c r="A121" s="3">
        <v>10</v>
      </c>
      <c r="B121" s="3">
        <v>0.31818181829534764</v>
      </c>
      <c r="C121" s="3">
        <v>5</v>
      </c>
      <c r="D121" s="3">
        <v>30</v>
      </c>
      <c r="E121" s="3">
        <v>5.5E-2</v>
      </c>
      <c r="F121" s="3">
        <f t="shared" si="16"/>
        <v>2.6120115584149359</v>
      </c>
      <c r="G121" s="5">
        <v>0.35</v>
      </c>
      <c r="H121" s="4">
        <v>20000000</v>
      </c>
      <c r="I121" s="4">
        <f t="shared" si="26"/>
        <v>6363636.3659069529</v>
      </c>
      <c r="J121" s="3">
        <v>210000000000</v>
      </c>
      <c r="K121" s="4">
        <f t="shared" si="27"/>
        <v>8.068662985464975E-2</v>
      </c>
      <c r="L121" s="6">
        <f t="shared" si="17"/>
        <v>2.4205988956394924</v>
      </c>
      <c r="M121" s="4">
        <f t="shared" si="18"/>
        <v>5379257.3234280897</v>
      </c>
      <c r="N121" s="4">
        <f t="shared" si="19"/>
        <v>806888598.51421344</v>
      </c>
      <c r="O121" s="4">
        <f t="shared" si="20"/>
        <v>242066579554.26404</v>
      </c>
      <c r="P121" s="4">
        <f t="shared" si="21"/>
        <v>-12103328977.713202</v>
      </c>
      <c r="Q121" s="4">
        <f t="shared" si="24"/>
        <v>124402926.00312805</v>
      </c>
      <c r="R121" s="4">
        <f t="shared" si="24"/>
        <v>37320877800.938416</v>
      </c>
      <c r="S121" s="4">
        <f t="shared" si="24"/>
        <v>-1866043890.0469208</v>
      </c>
      <c r="T121" s="3"/>
      <c r="U121" s="4">
        <f t="shared" si="22"/>
        <v>17181818.187948775</v>
      </c>
      <c r="V121">
        <f t="shared" si="23"/>
        <v>548522427267.13654</v>
      </c>
    </row>
    <row r="122" spans="1:22" x14ac:dyDescent="0.5">
      <c r="A122" s="3">
        <v>10</v>
      </c>
      <c r="B122" s="3">
        <v>0.279129321580879</v>
      </c>
      <c r="C122" s="3">
        <v>5</v>
      </c>
      <c r="D122" s="3">
        <v>30</v>
      </c>
      <c r="E122" s="3">
        <v>5.5E-2</v>
      </c>
      <c r="F122" s="3">
        <f t="shared" si="16"/>
        <v>2.6120115584149359</v>
      </c>
      <c r="G122" s="5">
        <v>0.35</v>
      </c>
      <c r="H122" s="4">
        <v>20000000</v>
      </c>
      <c r="I122" s="4">
        <f t="shared" si="26"/>
        <v>5582586.4316175804</v>
      </c>
      <c r="J122" s="3">
        <v>210000000000</v>
      </c>
      <c r="K122" s="4">
        <f t="shared" si="27"/>
        <v>8.068662985464975E-2</v>
      </c>
      <c r="L122" s="6">
        <f t="shared" si="17"/>
        <v>2.4205988956394924</v>
      </c>
      <c r="M122" s="4">
        <f t="shared" si="18"/>
        <v>4667810.9902210291</v>
      </c>
      <c r="N122" s="4">
        <f t="shared" si="19"/>
        <v>700171648.53315449</v>
      </c>
      <c r="O122" s="4">
        <f t="shared" si="20"/>
        <v>210051494559.94632</v>
      </c>
      <c r="P122" s="4">
        <f t="shared" si="21"/>
        <v>-10502574727.997316</v>
      </c>
      <c r="Q122" s="4">
        <f t="shared" si="24"/>
        <v>106716949.98105896</v>
      </c>
      <c r="R122" s="4">
        <f t="shared" si="24"/>
        <v>32015084994.317719</v>
      </c>
      <c r="S122" s="4">
        <f t="shared" si="24"/>
        <v>-1600754249.7158852</v>
      </c>
      <c r="T122" s="3"/>
      <c r="U122" s="4">
        <f t="shared" si="22"/>
        <v>15072983.365367468</v>
      </c>
      <c r="V122">
        <f t="shared" si="23"/>
        <v>548522427267.13654</v>
      </c>
    </row>
    <row r="123" spans="1:22" x14ac:dyDescent="0.5">
      <c r="A123" s="3">
        <v>10</v>
      </c>
      <c r="B123" s="3">
        <v>0.24413145555271001</v>
      </c>
      <c r="C123" s="3">
        <v>5</v>
      </c>
      <c r="D123" s="3">
        <v>30</v>
      </c>
      <c r="E123" s="3">
        <v>5.5E-2</v>
      </c>
      <c r="F123" s="3">
        <f t="shared" si="16"/>
        <v>2.6120115584149359</v>
      </c>
      <c r="G123" s="5">
        <v>0.35</v>
      </c>
      <c r="H123" s="4">
        <v>20000000</v>
      </c>
      <c r="I123" s="4">
        <f t="shared" si="26"/>
        <v>4882629.1110542007</v>
      </c>
      <c r="J123" s="3">
        <v>210000000000</v>
      </c>
      <c r="K123" s="4">
        <f t="shared" si="27"/>
        <v>8.068662985464975E-2</v>
      </c>
      <c r="L123" s="6">
        <f t="shared" si="17"/>
        <v>2.4205988956394924</v>
      </c>
      <c r="M123" s="4">
        <f t="shared" si="18"/>
        <v>4037226.0421417905</v>
      </c>
      <c r="N123" s="4">
        <f t="shared" si="19"/>
        <v>605583906.32126856</v>
      </c>
      <c r="O123" s="4">
        <f t="shared" si="20"/>
        <v>181675171896.38058</v>
      </c>
      <c r="P123" s="4">
        <f t="shared" si="21"/>
        <v>-9083758594.8190289</v>
      </c>
      <c r="Q123" s="4">
        <f t="shared" si="24"/>
        <v>94587742.211885929</v>
      </c>
      <c r="R123" s="4">
        <f t="shared" si="24"/>
        <v>28376322663.565735</v>
      </c>
      <c r="S123" s="4">
        <f t="shared" si="24"/>
        <v>-1418816133.1782875</v>
      </c>
      <c r="T123" s="3"/>
      <c r="U123" s="4">
        <f t="shared" si="22"/>
        <v>13183098.599846343</v>
      </c>
      <c r="V123">
        <f t="shared" si="23"/>
        <v>548522427267.13654</v>
      </c>
    </row>
    <row r="124" spans="1:22" x14ac:dyDescent="0.5">
      <c r="A124" s="3">
        <v>10</v>
      </c>
      <c r="B124" s="3">
        <v>0.20977379447972666</v>
      </c>
      <c r="C124" s="3">
        <v>5</v>
      </c>
      <c r="D124" s="3">
        <v>30</v>
      </c>
      <c r="E124" s="3">
        <v>5.5E-2</v>
      </c>
      <c r="F124" s="3">
        <f t="shared" si="16"/>
        <v>2.6120115584149359</v>
      </c>
      <c r="G124" s="5">
        <v>0.35</v>
      </c>
      <c r="H124" s="4">
        <v>20000000</v>
      </c>
      <c r="I124" s="4">
        <f t="shared" si="26"/>
        <v>4195475.8895945335</v>
      </c>
      <c r="J124" s="3">
        <v>210000000000</v>
      </c>
      <c r="K124" s="4">
        <f t="shared" si="27"/>
        <v>8.068662985464975E-2</v>
      </c>
      <c r="L124" s="6">
        <f t="shared" si="17"/>
        <v>2.4205988956394924</v>
      </c>
      <c r="M124" s="4">
        <f t="shared" si="18"/>
        <v>3425478.0107002161</v>
      </c>
      <c r="N124" s="4">
        <f t="shared" si="19"/>
        <v>513821701.60503244</v>
      </c>
      <c r="O124" s="4">
        <f t="shared" si="20"/>
        <v>154146510481.50974</v>
      </c>
      <c r="P124" s="4">
        <f t="shared" si="21"/>
        <v>-7707325524.0754862</v>
      </c>
      <c r="Q124" s="4">
        <f t="shared" si="24"/>
        <v>91762204.716236115</v>
      </c>
      <c r="R124" s="4">
        <f t="shared" si="24"/>
        <v>27528661414.87085</v>
      </c>
      <c r="S124" s="4">
        <f t="shared" si="24"/>
        <v>-1376433070.7435427</v>
      </c>
      <c r="T124" s="3"/>
      <c r="U124" s="4">
        <f t="shared" si="22"/>
        <v>11327784.90190524</v>
      </c>
      <c r="V124">
        <f t="shared" si="23"/>
        <v>548522427267.13654</v>
      </c>
    </row>
    <row r="125" spans="1:22" x14ac:dyDescent="0.5">
      <c r="A125" s="3">
        <v>10</v>
      </c>
      <c r="B125" s="3">
        <v>0.17861715751600499</v>
      </c>
      <c r="C125" s="3">
        <v>5</v>
      </c>
      <c r="D125" s="3">
        <v>30</v>
      </c>
      <c r="E125" s="3">
        <v>5.5E-2</v>
      </c>
      <c r="F125" s="3">
        <f t="shared" si="16"/>
        <v>2.6120115584149359</v>
      </c>
      <c r="G125" s="5">
        <v>0.35</v>
      </c>
      <c r="H125" s="4">
        <v>20000000</v>
      </c>
      <c r="I125" s="4">
        <f t="shared" si="26"/>
        <v>3572343.1503200997</v>
      </c>
      <c r="J125" s="3">
        <v>210000000000</v>
      </c>
      <c r="K125" s="4">
        <f t="shared" si="27"/>
        <v>8.068662985464975E-2</v>
      </c>
      <c r="L125" s="6">
        <f t="shared" si="17"/>
        <v>2.4205988956394924</v>
      </c>
      <c r="M125" s="4">
        <f t="shared" si="18"/>
        <v>2877889.5272439849</v>
      </c>
      <c r="N125" s="4">
        <f t="shared" si="19"/>
        <v>431683429.08659774</v>
      </c>
      <c r="O125" s="4">
        <f t="shared" si="20"/>
        <v>129505028725.97931</v>
      </c>
      <c r="P125" s="4">
        <f t="shared" si="21"/>
        <v>-6475251436.2989664</v>
      </c>
      <c r="Q125" s="4">
        <f t="shared" si="24"/>
        <v>82138272.518434703</v>
      </c>
      <c r="R125" s="4">
        <f t="shared" si="24"/>
        <v>24641481755.530426</v>
      </c>
      <c r="S125" s="4">
        <f t="shared" si="24"/>
        <v>-1232074087.7765198</v>
      </c>
      <c r="T125" s="3"/>
      <c r="U125" s="4">
        <f t="shared" si="22"/>
        <v>9645326.50586427</v>
      </c>
      <c r="V125">
        <f t="shared" si="23"/>
        <v>548522427267.13654</v>
      </c>
    </row>
    <row r="126" spans="1:22" x14ac:dyDescent="0.5">
      <c r="A126" s="3">
        <v>10</v>
      </c>
      <c r="B126" s="3">
        <v>0.15236875799487837</v>
      </c>
      <c r="C126" s="3">
        <v>5</v>
      </c>
      <c r="D126" s="3">
        <v>30</v>
      </c>
      <c r="E126" s="3">
        <v>5.5E-2</v>
      </c>
      <c r="F126" s="3">
        <f t="shared" si="16"/>
        <v>2.6120115584149359</v>
      </c>
      <c r="G126" s="5">
        <v>0.35</v>
      </c>
      <c r="H126" s="4">
        <v>20000000</v>
      </c>
      <c r="I126" s="4">
        <f t="shared" si="26"/>
        <v>3047375.1598975672</v>
      </c>
      <c r="J126" s="3">
        <v>210000000000</v>
      </c>
      <c r="K126" s="4">
        <f t="shared" si="27"/>
        <v>8.068662985464975E-2</v>
      </c>
      <c r="L126" s="6">
        <f t="shared" si="17"/>
        <v>2.4205988956394924</v>
      </c>
      <c r="M126" s="4">
        <f t="shared" si="18"/>
        <v>2422671.8994014664</v>
      </c>
      <c r="N126" s="4">
        <f t="shared" si="19"/>
        <v>363400784.91021997</v>
      </c>
      <c r="O126" s="4">
        <f t="shared" si="20"/>
        <v>109020235473.06599</v>
      </c>
      <c r="P126" s="4">
        <f t="shared" si="21"/>
        <v>-5451011773.6532993</v>
      </c>
      <c r="Q126" s="4">
        <f t="shared" si="24"/>
        <v>68282644.176377773</v>
      </c>
      <c r="R126" s="4">
        <f t="shared" si="24"/>
        <v>20484793252.913315</v>
      </c>
      <c r="S126" s="4">
        <f t="shared" si="24"/>
        <v>-1024239662.6456671</v>
      </c>
      <c r="T126" s="3"/>
      <c r="U126" s="4">
        <f t="shared" si="22"/>
        <v>8227912.9317234317</v>
      </c>
      <c r="V126">
        <f t="shared" si="23"/>
        <v>548522427267.13654</v>
      </c>
    </row>
    <row r="127" spans="1:22" x14ac:dyDescent="0.5">
      <c r="A127" s="3">
        <v>10</v>
      </c>
      <c r="B127" s="3">
        <v>0.12910798153819888</v>
      </c>
      <c r="C127" s="3">
        <v>5</v>
      </c>
      <c r="D127" s="3">
        <v>30</v>
      </c>
      <c r="E127" s="3">
        <v>5.5E-2</v>
      </c>
      <c r="F127" s="3">
        <f t="shared" si="16"/>
        <v>2.6120115584149359</v>
      </c>
      <c r="G127" s="5">
        <v>0.35</v>
      </c>
      <c r="H127" s="4">
        <v>20000000</v>
      </c>
      <c r="I127" s="4">
        <f t="shared" si="26"/>
        <v>2582159.6307639778</v>
      </c>
      <c r="J127" s="3">
        <v>210000000000</v>
      </c>
      <c r="K127" s="4">
        <f t="shared" si="27"/>
        <v>8.068662985464975E-2</v>
      </c>
      <c r="L127" s="6">
        <f t="shared" si="17"/>
        <v>2.4205988956394924</v>
      </c>
      <c r="M127" s="4">
        <f t="shared" si="18"/>
        <v>2024680.6373191779</v>
      </c>
      <c r="N127" s="4">
        <f t="shared" si="19"/>
        <v>303702095.59787667</v>
      </c>
      <c r="O127" s="4">
        <f t="shared" si="20"/>
        <v>91110628679.362991</v>
      </c>
      <c r="P127" s="4">
        <f t="shared" si="21"/>
        <v>-4555531433.9681501</v>
      </c>
      <c r="Q127" s="4">
        <f t="shared" si="24"/>
        <v>59698689.312343299</v>
      </c>
      <c r="R127" s="4">
        <f t="shared" si="24"/>
        <v>17909606793.703003</v>
      </c>
      <c r="S127" s="4">
        <f t="shared" si="24"/>
        <v>-895480339.68514919</v>
      </c>
      <c r="T127" s="3"/>
      <c r="U127" s="4">
        <f t="shared" si="22"/>
        <v>6971831.00306274</v>
      </c>
      <c r="V127">
        <f t="shared" si="23"/>
        <v>548522427267.13654</v>
      </c>
    </row>
    <row r="128" spans="1:22" x14ac:dyDescent="0.5">
      <c r="A128" s="3">
        <v>10</v>
      </c>
      <c r="B128" s="3">
        <v>0.10627400783781477</v>
      </c>
      <c r="C128" s="3">
        <v>5</v>
      </c>
      <c r="D128" s="3">
        <v>30</v>
      </c>
      <c r="E128" s="3">
        <v>5.5E-2</v>
      </c>
      <c r="F128" s="3">
        <f t="shared" si="16"/>
        <v>2.6120115584149359</v>
      </c>
      <c r="G128" s="5">
        <v>0.35</v>
      </c>
      <c r="H128" s="4">
        <v>20000000</v>
      </c>
      <c r="I128" s="4">
        <f t="shared" si="26"/>
        <v>2125480.1567562954</v>
      </c>
      <c r="J128" s="3">
        <v>210000000000</v>
      </c>
      <c r="K128" s="4">
        <f t="shared" si="27"/>
        <v>8.068662985464975E-2</v>
      </c>
      <c r="L128" s="6">
        <f t="shared" si="17"/>
        <v>2.4205988956394924</v>
      </c>
      <c r="M128" s="4">
        <f t="shared" si="18"/>
        <v>1639784.0630870459</v>
      </c>
      <c r="N128" s="4">
        <f t="shared" si="19"/>
        <v>245967609.46305689</v>
      </c>
      <c r="O128" s="4">
        <f t="shared" si="20"/>
        <v>73790282838.917068</v>
      </c>
      <c r="P128" s="4">
        <f t="shared" si="21"/>
        <v>-3689514141.9458532</v>
      </c>
      <c r="Q128" s="4">
        <f t="shared" si="24"/>
        <v>57734486.134819776</v>
      </c>
      <c r="R128" s="4">
        <f t="shared" si="24"/>
        <v>17320345840.445923</v>
      </c>
      <c r="S128" s="4">
        <f t="shared" si="24"/>
        <v>-866017292.02229691</v>
      </c>
      <c r="T128" s="3"/>
      <c r="U128" s="4">
        <f t="shared" si="22"/>
        <v>5738796.4232419981</v>
      </c>
      <c r="V128">
        <f t="shared" si="23"/>
        <v>548522427267.13654</v>
      </c>
    </row>
    <row r="129" spans="1:22" x14ac:dyDescent="0.5">
      <c r="A129" s="3">
        <v>10</v>
      </c>
      <c r="B129" s="3">
        <v>8.7494664823730264E-2</v>
      </c>
      <c r="C129" s="3">
        <v>5</v>
      </c>
      <c r="D129" s="3">
        <v>30</v>
      </c>
      <c r="E129" s="3">
        <v>5.5E-2</v>
      </c>
      <c r="F129" s="3">
        <f t="shared" si="16"/>
        <v>2.6120115584149359</v>
      </c>
      <c r="G129" s="5">
        <v>0.35</v>
      </c>
      <c r="H129" s="4">
        <v>20000000</v>
      </c>
      <c r="I129" s="4">
        <f t="shared" si="26"/>
        <v>1749893.2964746053</v>
      </c>
      <c r="J129" s="3">
        <v>210000000000</v>
      </c>
      <c r="K129" s="4">
        <f t="shared" si="27"/>
        <v>8.068662985464975E-2</v>
      </c>
      <c r="L129" s="6">
        <f t="shared" si="17"/>
        <v>2.4205988956394924</v>
      </c>
      <c r="M129" s="4">
        <f t="shared" si="18"/>
        <v>1328324.0930926045</v>
      </c>
      <c r="N129" s="4">
        <f t="shared" si="19"/>
        <v>199248613.96389067</v>
      </c>
      <c r="O129" s="4">
        <f t="shared" si="20"/>
        <v>59774584189.167206</v>
      </c>
      <c r="P129" s="4">
        <f t="shared" si="21"/>
        <v>-2988729209.4583602</v>
      </c>
      <c r="Q129" s="4">
        <f t="shared" si="24"/>
        <v>46718995.49916622</v>
      </c>
      <c r="R129" s="4">
        <f t="shared" si="24"/>
        <v>14015698649.749863</v>
      </c>
      <c r="S129" s="4">
        <f t="shared" si="24"/>
        <v>-700784932.48749304</v>
      </c>
      <c r="T129" s="3"/>
      <c r="U129" s="4">
        <f t="shared" si="22"/>
        <v>4724711.9004814345</v>
      </c>
      <c r="V129">
        <f t="shared" si="23"/>
        <v>548522427267.13654</v>
      </c>
    </row>
    <row r="130" spans="1:22" x14ac:dyDescent="0.5">
      <c r="A130" s="3">
        <v>10</v>
      </c>
      <c r="B130" s="3">
        <v>7.2343149918907335E-2</v>
      </c>
      <c r="C130" s="3">
        <v>5</v>
      </c>
      <c r="D130" s="3">
        <v>30</v>
      </c>
      <c r="E130" s="3">
        <v>5.5E-2</v>
      </c>
      <c r="F130" s="3">
        <f t="shared" si="16"/>
        <v>2.6120115584149359</v>
      </c>
      <c r="G130" s="5">
        <v>0.35</v>
      </c>
      <c r="H130" s="4">
        <v>20000000</v>
      </c>
      <c r="I130" s="4">
        <f t="shared" si="26"/>
        <v>1446862.9983781467</v>
      </c>
      <c r="J130" s="3">
        <v>210000000000</v>
      </c>
      <c r="K130" s="4">
        <f t="shared" si="27"/>
        <v>8.068662985464975E-2</v>
      </c>
      <c r="L130" s="6">
        <f t="shared" si="17"/>
        <v>2.4205988956394924</v>
      </c>
      <c r="M130" s="4">
        <f t="shared" si="18"/>
        <v>1081030.3317981826</v>
      </c>
      <c r="N130" s="4">
        <f t="shared" si="19"/>
        <v>162154549.76972738</v>
      </c>
      <c r="O130" s="4">
        <f t="shared" si="20"/>
        <v>48646364930.918213</v>
      </c>
      <c r="P130" s="4">
        <f t="shared" si="21"/>
        <v>-2432318246.5459108</v>
      </c>
      <c r="Q130" s="4">
        <f t="shared" si="24"/>
        <v>37094064.194163293</v>
      </c>
      <c r="R130" s="4">
        <f t="shared" si="24"/>
        <v>11128219258.248993</v>
      </c>
      <c r="S130" s="4">
        <f t="shared" si="24"/>
        <v>-556410962.91244936</v>
      </c>
      <c r="T130" s="3"/>
      <c r="U130" s="4">
        <f t="shared" si="22"/>
        <v>3906530.0956209963</v>
      </c>
      <c r="V130">
        <f t="shared" si="23"/>
        <v>548522427267.13654</v>
      </c>
    </row>
    <row r="131" spans="1:22" x14ac:dyDescent="0.5">
      <c r="A131" s="3">
        <v>10</v>
      </c>
      <c r="B131" s="3">
        <v>6.3593683666666664E-2</v>
      </c>
      <c r="C131" s="3">
        <v>5</v>
      </c>
      <c r="D131" s="3">
        <v>30</v>
      </c>
      <c r="E131" s="3">
        <v>5.5E-2</v>
      </c>
      <c r="F131" s="3">
        <f t="shared" ref="F131:F194" si="28">(3.141592*((C131^4)-(C131-(2*E131))^4))/64</f>
        <v>2.6120115584149359</v>
      </c>
      <c r="G131" s="5">
        <v>0.35</v>
      </c>
      <c r="H131" s="4">
        <v>20000000</v>
      </c>
      <c r="I131" s="4">
        <f t="shared" si="26"/>
        <v>1271873.6733333333</v>
      </c>
      <c r="J131" s="3">
        <v>210000000000</v>
      </c>
      <c r="K131" s="4">
        <f t="shared" si="27"/>
        <v>8.068662985464975E-2</v>
      </c>
      <c r="L131" s="6">
        <f t="shared" ref="L131:L194" si="29">K131*D131</f>
        <v>2.4205988956394924</v>
      </c>
      <c r="M131" s="4">
        <f t="shared" ref="M131:M194" si="30">(0.65/C131)*(((2*U131*(1+G131)*C131^4)/(J131*F131))^(1/12))*((2*U131*(1+G131))/(1-G131^2))</f>
        <v>940132.70549880306</v>
      </c>
      <c r="N131" s="4">
        <f t="shared" ref="N131:N194" si="31">IF(L131&gt;=2.5,M131*C131/K131,M131*C131*D131)</f>
        <v>141019905.82482046</v>
      </c>
      <c r="O131" s="4">
        <f t="shared" ref="O131:O194" si="32">IF(L131&gt;=2.5,M131*C131/(2*K131^3),M131*C131*(D131^3)/3)</f>
        <v>42305971747.446136</v>
      </c>
      <c r="P131" s="4">
        <f t="shared" ref="P131:P194" si="33">IF(L131&gt;=2.5,-(M131*C131/(2*K131^2)),-(M131*C131*(D131^2)/2))</f>
        <v>-2115298587.3723068</v>
      </c>
      <c r="Q131" s="4">
        <f t="shared" si="24"/>
        <v>21134643.94490692</v>
      </c>
      <c r="R131" s="4">
        <f t="shared" si="24"/>
        <v>6340393183.4720764</v>
      </c>
      <c r="S131" s="4">
        <f t="shared" si="24"/>
        <v>-317019659.17360401</v>
      </c>
      <c r="T131" s="3"/>
      <c r="U131" s="4">
        <f t="shared" ref="U131:U194" si="34">2*I131*(G131+1)</f>
        <v>3434058.9180000001</v>
      </c>
      <c r="V131">
        <f t="shared" ref="V131:V194" si="35">J131*F131</f>
        <v>548522427267.13654</v>
      </c>
    </row>
    <row r="132" spans="1:22" x14ac:dyDescent="0.5">
      <c r="A132" s="3">
        <v>10</v>
      </c>
      <c r="B132" s="3">
        <v>5.8685446333333335E-2</v>
      </c>
      <c r="C132" s="3">
        <v>5</v>
      </c>
      <c r="D132" s="3">
        <v>30</v>
      </c>
      <c r="E132" s="3">
        <v>5.5E-2</v>
      </c>
      <c r="F132" s="3">
        <f t="shared" si="28"/>
        <v>2.6120115584149359</v>
      </c>
      <c r="G132" s="5">
        <v>0.35</v>
      </c>
      <c r="H132" s="4">
        <v>20000000</v>
      </c>
      <c r="I132" s="4">
        <f t="shared" si="26"/>
        <v>1173708.9266666668</v>
      </c>
      <c r="J132" s="3">
        <v>210000000000</v>
      </c>
      <c r="K132" s="4">
        <f t="shared" si="27"/>
        <v>8.068662985464975E-2</v>
      </c>
      <c r="L132" s="6">
        <f t="shared" si="29"/>
        <v>2.4205988956394924</v>
      </c>
      <c r="M132" s="4">
        <f t="shared" si="30"/>
        <v>861784.39714577154</v>
      </c>
      <c r="N132" s="4">
        <f t="shared" si="31"/>
        <v>129267659.57186574</v>
      </c>
      <c r="O132" s="4">
        <f t="shared" si="32"/>
        <v>38780297871.559723</v>
      </c>
      <c r="P132" s="4">
        <f t="shared" si="33"/>
        <v>-1939014893.577986</v>
      </c>
      <c r="Q132" s="4">
        <f t="shared" ref="Q132:S195" si="36">N131-N132</f>
        <v>11752246.252954721</v>
      </c>
      <c r="R132" s="4">
        <f t="shared" si="36"/>
        <v>3525673875.8864136</v>
      </c>
      <c r="S132" s="4">
        <f t="shared" si="36"/>
        <v>-176283693.79432082</v>
      </c>
      <c r="T132" s="3"/>
      <c r="U132" s="4">
        <f t="shared" si="34"/>
        <v>3169014.1020000004</v>
      </c>
      <c r="V132">
        <f t="shared" si="35"/>
        <v>548522427267.13654</v>
      </c>
    </row>
    <row r="133" spans="1:22" x14ac:dyDescent="0.5">
      <c r="A133" s="3">
        <v>10</v>
      </c>
      <c r="B133" s="3">
        <v>5.2710200333333332E-2</v>
      </c>
      <c r="C133" s="3">
        <v>5</v>
      </c>
      <c r="D133" s="3">
        <v>30</v>
      </c>
      <c r="E133" s="3">
        <v>5.5E-2</v>
      </c>
      <c r="F133" s="3">
        <f t="shared" si="28"/>
        <v>2.6120115584149359</v>
      </c>
      <c r="G133" s="5">
        <v>0.35</v>
      </c>
      <c r="H133" s="4">
        <v>20000000</v>
      </c>
      <c r="I133" s="4">
        <f t="shared" si="26"/>
        <v>1054204.0066666666</v>
      </c>
      <c r="J133" s="3">
        <v>210000000000</v>
      </c>
      <c r="K133" s="4">
        <f t="shared" si="27"/>
        <v>8.068662985464975E-2</v>
      </c>
      <c r="L133" s="6">
        <f t="shared" si="29"/>
        <v>2.4205988956394924</v>
      </c>
      <c r="M133" s="4">
        <f t="shared" si="30"/>
        <v>767143.42923394125</v>
      </c>
      <c r="N133" s="4">
        <f t="shared" si="31"/>
        <v>115071514.38509119</v>
      </c>
      <c r="O133" s="4">
        <f t="shared" si="32"/>
        <v>34521454315.527351</v>
      </c>
      <c r="P133" s="4">
        <f t="shared" si="33"/>
        <v>-1726072715.7763679</v>
      </c>
      <c r="Q133" s="4">
        <f t="shared" si="36"/>
        <v>14196145.186774552</v>
      </c>
      <c r="R133" s="4">
        <f t="shared" si="36"/>
        <v>4258843556.0323715</v>
      </c>
      <c r="S133" s="4">
        <f t="shared" si="36"/>
        <v>-212942177.8016181</v>
      </c>
      <c r="T133" s="3"/>
      <c r="U133" s="4">
        <f t="shared" si="34"/>
        <v>2846350.818</v>
      </c>
      <c r="V133">
        <f t="shared" si="35"/>
        <v>548522427267.13654</v>
      </c>
    </row>
    <row r="134" spans="1:22" x14ac:dyDescent="0.5">
      <c r="A134" s="3">
        <v>15</v>
      </c>
      <c r="B134" s="5">
        <v>1</v>
      </c>
      <c r="C134" s="3">
        <v>5</v>
      </c>
      <c r="D134" s="3">
        <v>35</v>
      </c>
      <c r="E134" s="3">
        <v>5.5E-2</v>
      </c>
      <c r="F134" s="3">
        <f t="shared" si="28"/>
        <v>2.6120115584149359</v>
      </c>
      <c r="G134" s="5">
        <v>0.35</v>
      </c>
      <c r="H134" s="4">
        <v>20000000</v>
      </c>
      <c r="I134" s="4">
        <f>B134*$H$134</f>
        <v>20000000</v>
      </c>
      <c r="J134" s="3">
        <v>210000000000</v>
      </c>
      <c r="K134" s="4">
        <f>(($M$134*C134)/(4*J134*F134))^(1/4)</f>
        <v>8.068662985464975E-2</v>
      </c>
      <c r="L134" s="6">
        <f t="shared" si="29"/>
        <v>2.8240320449127414</v>
      </c>
      <c r="M134" s="4">
        <f t="shared" si="30"/>
        <v>18599046.512083884</v>
      </c>
      <c r="N134" s="4">
        <f t="shared" si="31"/>
        <v>1152548231.6951718</v>
      </c>
      <c r="O134" s="4">
        <f t="shared" si="32"/>
        <v>88516852111.754929</v>
      </c>
      <c r="P134" s="4">
        <f t="shared" si="33"/>
        <v>-7142126482.2399416</v>
      </c>
      <c r="Q134" s="4">
        <f>N134</f>
        <v>1152548231.6951718</v>
      </c>
      <c r="R134" s="4">
        <f t="shared" ref="R134:S134" si="37">O134</f>
        <v>88516852111.754929</v>
      </c>
      <c r="S134" s="4">
        <f t="shared" si="37"/>
        <v>-7142126482.2399416</v>
      </c>
      <c r="T134" s="3"/>
      <c r="U134" s="4">
        <f t="shared" si="34"/>
        <v>54000000</v>
      </c>
      <c r="V134">
        <f t="shared" si="35"/>
        <v>548522427267.13654</v>
      </c>
    </row>
    <row r="135" spans="1:22" x14ac:dyDescent="0.5">
      <c r="A135" s="3">
        <v>15</v>
      </c>
      <c r="B135" s="5">
        <v>1</v>
      </c>
      <c r="C135" s="3">
        <v>5</v>
      </c>
      <c r="D135" s="3">
        <v>35</v>
      </c>
      <c r="E135" s="3">
        <v>5.5E-2</v>
      </c>
      <c r="F135" s="3">
        <f t="shared" si="28"/>
        <v>2.6120115584149359</v>
      </c>
      <c r="G135" s="5">
        <v>0.35</v>
      </c>
      <c r="H135" s="4">
        <v>20000000</v>
      </c>
      <c r="I135" s="4">
        <f t="shared" ref="I135:I177" si="38">B135*$H$134</f>
        <v>20000000</v>
      </c>
      <c r="J135" s="3">
        <v>210000000000</v>
      </c>
      <c r="K135" s="4">
        <f t="shared" ref="K135:K177" si="39">(($M$134*C135)/(4*J135*F135))^(1/4)</f>
        <v>8.068662985464975E-2</v>
      </c>
      <c r="L135" s="6">
        <f t="shared" si="29"/>
        <v>2.8240320449127414</v>
      </c>
      <c r="M135" s="4">
        <f t="shared" si="30"/>
        <v>18599046.512083884</v>
      </c>
      <c r="N135" s="4">
        <f t="shared" si="31"/>
        <v>1152548231.6951718</v>
      </c>
      <c r="O135" s="4">
        <f t="shared" si="32"/>
        <v>88516852111.754929</v>
      </c>
      <c r="P135" s="4">
        <f t="shared" si="33"/>
        <v>-7142126482.2399416</v>
      </c>
      <c r="Q135" s="4">
        <f t="shared" si="36"/>
        <v>0</v>
      </c>
      <c r="R135" s="4">
        <f t="shared" si="36"/>
        <v>0</v>
      </c>
      <c r="S135" s="4">
        <f t="shared" si="36"/>
        <v>0</v>
      </c>
      <c r="T135" s="3"/>
      <c r="U135" s="4">
        <f t="shared" si="34"/>
        <v>54000000</v>
      </c>
      <c r="V135">
        <f t="shared" si="35"/>
        <v>548522427267.13654</v>
      </c>
    </row>
    <row r="136" spans="1:22" x14ac:dyDescent="0.5">
      <c r="A136" s="3">
        <v>15</v>
      </c>
      <c r="B136" s="5">
        <v>1</v>
      </c>
      <c r="C136" s="3">
        <v>5</v>
      </c>
      <c r="D136" s="3">
        <v>35</v>
      </c>
      <c r="E136" s="3">
        <v>5.5E-2</v>
      </c>
      <c r="F136" s="3">
        <f t="shared" si="28"/>
        <v>2.6120115584149359</v>
      </c>
      <c r="G136" s="5">
        <v>0.35</v>
      </c>
      <c r="H136" s="4">
        <v>20000000</v>
      </c>
      <c r="I136" s="4">
        <f t="shared" si="38"/>
        <v>20000000</v>
      </c>
      <c r="J136" s="3">
        <v>210000000000</v>
      </c>
      <c r="K136" s="4">
        <f t="shared" si="39"/>
        <v>8.068662985464975E-2</v>
      </c>
      <c r="L136" s="6">
        <f t="shared" si="29"/>
        <v>2.8240320449127414</v>
      </c>
      <c r="M136" s="4">
        <f t="shared" si="30"/>
        <v>18599046.512083884</v>
      </c>
      <c r="N136" s="4">
        <f t="shared" si="31"/>
        <v>1152548231.6951718</v>
      </c>
      <c r="O136" s="4">
        <f t="shared" si="32"/>
        <v>88516852111.754929</v>
      </c>
      <c r="P136" s="4">
        <f t="shared" si="33"/>
        <v>-7142126482.2399416</v>
      </c>
      <c r="Q136" s="4">
        <f t="shared" si="36"/>
        <v>0</v>
      </c>
      <c r="R136" s="4">
        <f t="shared" si="36"/>
        <v>0</v>
      </c>
      <c r="S136" s="4">
        <f t="shared" si="36"/>
        <v>0</v>
      </c>
      <c r="T136" s="3"/>
      <c r="U136" s="4">
        <f t="shared" si="34"/>
        <v>54000000</v>
      </c>
      <c r="V136">
        <f t="shared" si="35"/>
        <v>548522427267.13654</v>
      </c>
    </row>
    <row r="137" spans="1:22" x14ac:dyDescent="0.5">
      <c r="A137" s="3">
        <v>15</v>
      </c>
      <c r="B137" s="5">
        <v>1</v>
      </c>
      <c r="C137" s="3">
        <v>5</v>
      </c>
      <c r="D137" s="3">
        <v>35</v>
      </c>
      <c r="E137" s="3">
        <v>5.5E-2</v>
      </c>
      <c r="F137" s="3">
        <f t="shared" si="28"/>
        <v>2.6120115584149359</v>
      </c>
      <c r="G137" s="5">
        <v>0.35</v>
      </c>
      <c r="H137" s="4">
        <v>20000000</v>
      </c>
      <c r="I137" s="4">
        <f t="shared" si="38"/>
        <v>20000000</v>
      </c>
      <c r="J137" s="3">
        <v>210000000000</v>
      </c>
      <c r="K137" s="4">
        <f t="shared" si="39"/>
        <v>8.068662985464975E-2</v>
      </c>
      <c r="L137" s="6">
        <f t="shared" si="29"/>
        <v>2.8240320449127414</v>
      </c>
      <c r="M137" s="4">
        <f t="shared" si="30"/>
        <v>18599046.512083884</v>
      </c>
      <c r="N137" s="4">
        <f t="shared" si="31"/>
        <v>1152548231.6951718</v>
      </c>
      <c r="O137" s="4">
        <f t="shared" si="32"/>
        <v>88516852111.754929</v>
      </c>
      <c r="P137" s="4">
        <f t="shared" si="33"/>
        <v>-7142126482.2399416</v>
      </c>
      <c r="Q137" s="4">
        <f t="shared" si="36"/>
        <v>0</v>
      </c>
      <c r="R137" s="4">
        <f t="shared" si="36"/>
        <v>0</v>
      </c>
      <c r="S137" s="4">
        <f t="shared" si="36"/>
        <v>0</v>
      </c>
      <c r="T137" s="3"/>
      <c r="U137" s="4">
        <f t="shared" si="34"/>
        <v>54000000</v>
      </c>
      <c r="V137">
        <f t="shared" si="35"/>
        <v>548522427267.13654</v>
      </c>
    </row>
    <row r="138" spans="1:22" x14ac:dyDescent="0.5">
      <c r="A138" s="3">
        <v>15</v>
      </c>
      <c r="B138" s="5">
        <v>1</v>
      </c>
      <c r="C138" s="3">
        <v>5</v>
      </c>
      <c r="D138" s="3">
        <v>35</v>
      </c>
      <c r="E138" s="3">
        <v>5.5E-2</v>
      </c>
      <c r="F138" s="3">
        <f t="shared" si="28"/>
        <v>2.6120115584149359</v>
      </c>
      <c r="G138" s="5">
        <v>0.35</v>
      </c>
      <c r="H138" s="4">
        <v>20000000</v>
      </c>
      <c r="I138" s="4">
        <f t="shared" si="38"/>
        <v>20000000</v>
      </c>
      <c r="J138" s="3">
        <v>210000000000</v>
      </c>
      <c r="K138" s="4">
        <f t="shared" si="39"/>
        <v>8.068662985464975E-2</v>
      </c>
      <c r="L138" s="6">
        <f t="shared" si="29"/>
        <v>2.8240320449127414</v>
      </c>
      <c r="M138" s="4">
        <f t="shared" si="30"/>
        <v>18599046.512083884</v>
      </c>
      <c r="N138" s="4">
        <f t="shared" si="31"/>
        <v>1152548231.6951718</v>
      </c>
      <c r="O138" s="4">
        <f t="shared" si="32"/>
        <v>88516852111.754929</v>
      </c>
      <c r="P138" s="4">
        <f t="shared" si="33"/>
        <v>-7142126482.2399416</v>
      </c>
      <c r="Q138" s="4">
        <f t="shared" si="36"/>
        <v>0</v>
      </c>
      <c r="R138" s="4">
        <f t="shared" si="36"/>
        <v>0</v>
      </c>
      <c r="S138" s="4">
        <f t="shared" si="36"/>
        <v>0</v>
      </c>
      <c r="T138" s="3"/>
      <c r="U138" s="4">
        <f t="shared" si="34"/>
        <v>54000000</v>
      </c>
      <c r="V138">
        <f t="shared" si="35"/>
        <v>548522427267.13654</v>
      </c>
    </row>
    <row r="139" spans="1:22" x14ac:dyDescent="0.5">
      <c r="A139" s="3">
        <v>15</v>
      </c>
      <c r="B139" s="5">
        <v>1</v>
      </c>
      <c r="C139" s="3">
        <v>5</v>
      </c>
      <c r="D139" s="3">
        <v>35</v>
      </c>
      <c r="E139" s="3">
        <v>5.5E-2</v>
      </c>
      <c r="F139" s="3">
        <f t="shared" si="28"/>
        <v>2.6120115584149359</v>
      </c>
      <c r="G139" s="5">
        <v>0.35</v>
      </c>
      <c r="H139" s="4">
        <v>20000000</v>
      </c>
      <c r="I139" s="4">
        <f t="shared" si="38"/>
        <v>20000000</v>
      </c>
      <c r="J139" s="3">
        <v>210000000000</v>
      </c>
      <c r="K139" s="4">
        <f t="shared" si="39"/>
        <v>8.068662985464975E-2</v>
      </c>
      <c r="L139" s="6">
        <f t="shared" si="29"/>
        <v>2.8240320449127414</v>
      </c>
      <c r="M139" s="4">
        <f t="shared" si="30"/>
        <v>18599046.512083884</v>
      </c>
      <c r="N139" s="4">
        <f t="shared" si="31"/>
        <v>1152548231.6951718</v>
      </c>
      <c r="O139" s="4">
        <f t="shared" si="32"/>
        <v>88516852111.754929</v>
      </c>
      <c r="P139" s="4">
        <f t="shared" si="33"/>
        <v>-7142126482.2399416</v>
      </c>
      <c r="Q139" s="4">
        <f t="shared" si="36"/>
        <v>0</v>
      </c>
      <c r="R139" s="4">
        <f t="shared" si="36"/>
        <v>0</v>
      </c>
      <c r="S139" s="4">
        <f t="shared" si="36"/>
        <v>0</v>
      </c>
      <c r="T139" s="3"/>
      <c r="U139" s="4">
        <f t="shared" si="34"/>
        <v>54000000</v>
      </c>
      <c r="V139">
        <f t="shared" si="35"/>
        <v>548522427267.13654</v>
      </c>
    </row>
    <row r="140" spans="1:22" x14ac:dyDescent="0.5">
      <c r="A140" s="3">
        <v>15</v>
      </c>
      <c r="B140" s="5">
        <v>1</v>
      </c>
      <c r="C140" s="3">
        <v>5</v>
      </c>
      <c r="D140" s="3">
        <v>35</v>
      </c>
      <c r="E140" s="3">
        <v>5.5E-2</v>
      </c>
      <c r="F140" s="3">
        <f t="shared" si="28"/>
        <v>2.6120115584149359</v>
      </c>
      <c r="G140" s="5">
        <v>0.35</v>
      </c>
      <c r="H140" s="4">
        <v>20000000</v>
      </c>
      <c r="I140" s="4">
        <f t="shared" si="38"/>
        <v>20000000</v>
      </c>
      <c r="J140" s="3">
        <v>210000000000</v>
      </c>
      <c r="K140" s="4">
        <f t="shared" si="39"/>
        <v>8.068662985464975E-2</v>
      </c>
      <c r="L140" s="6">
        <f t="shared" si="29"/>
        <v>2.8240320449127414</v>
      </c>
      <c r="M140" s="4">
        <f t="shared" si="30"/>
        <v>18599046.512083884</v>
      </c>
      <c r="N140" s="4">
        <f t="shared" si="31"/>
        <v>1152548231.6951718</v>
      </c>
      <c r="O140" s="4">
        <f t="shared" si="32"/>
        <v>88516852111.754929</v>
      </c>
      <c r="P140" s="4">
        <f t="shared" si="33"/>
        <v>-7142126482.2399416</v>
      </c>
      <c r="Q140" s="4">
        <f t="shared" si="36"/>
        <v>0</v>
      </c>
      <c r="R140" s="4">
        <f t="shared" si="36"/>
        <v>0</v>
      </c>
      <c r="S140" s="4">
        <f t="shared" si="36"/>
        <v>0</v>
      </c>
      <c r="T140" s="3"/>
      <c r="U140" s="4">
        <f t="shared" si="34"/>
        <v>54000000</v>
      </c>
      <c r="V140">
        <f t="shared" si="35"/>
        <v>548522427267.13654</v>
      </c>
    </row>
    <row r="141" spans="1:22" x14ac:dyDescent="0.5">
      <c r="A141" s="3">
        <v>15</v>
      </c>
      <c r="B141" s="5">
        <v>1</v>
      </c>
      <c r="C141" s="3">
        <v>5</v>
      </c>
      <c r="D141" s="3">
        <v>35</v>
      </c>
      <c r="E141" s="3">
        <v>5.5E-2</v>
      </c>
      <c r="F141" s="3">
        <f t="shared" si="28"/>
        <v>2.6120115584149359</v>
      </c>
      <c r="G141" s="5">
        <v>0.35</v>
      </c>
      <c r="H141" s="4">
        <v>20000000</v>
      </c>
      <c r="I141" s="4">
        <f t="shared" si="38"/>
        <v>20000000</v>
      </c>
      <c r="J141" s="3">
        <v>210000000000</v>
      </c>
      <c r="K141" s="4">
        <f t="shared" si="39"/>
        <v>8.068662985464975E-2</v>
      </c>
      <c r="L141" s="6">
        <f t="shared" si="29"/>
        <v>2.8240320449127414</v>
      </c>
      <c r="M141" s="4">
        <f t="shared" si="30"/>
        <v>18599046.512083884</v>
      </c>
      <c r="N141" s="4">
        <f t="shared" si="31"/>
        <v>1152548231.6951718</v>
      </c>
      <c r="O141" s="4">
        <f t="shared" si="32"/>
        <v>88516852111.754929</v>
      </c>
      <c r="P141" s="4">
        <f t="shared" si="33"/>
        <v>-7142126482.2399416</v>
      </c>
      <c r="Q141" s="4">
        <f t="shared" si="36"/>
        <v>0</v>
      </c>
      <c r="R141" s="4">
        <f t="shared" si="36"/>
        <v>0</v>
      </c>
      <c r="S141" s="4">
        <f t="shared" si="36"/>
        <v>0</v>
      </c>
      <c r="T141" s="3"/>
      <c r="U141" s="4">
        <f t="shared" si="34"/>
        <v>54000000</v>
      </c>
      <c r="V141">
        <f t="shared" si="35"/>
        <v>548522427267.13654</v>
      </c>
    </row>
    <row r="142" spans="1:22" x14ac:dyDescent="0.5">
      <c r="A142" s="3">
        <v>15</v>
      </c>
      <c r="B142" s="5">
        <v>1</v>
      </c>
      <c r="C142" s="3">
        <v>5</v>
      </c>
      <c r="D142" s="3">
        <v>35</v>
      </c>
      <c r="E142" s="3">
        <v>5.5E-2</v>
      </c>
      <c r="F142" s="3">
        <f t="shared" si="28"/>
        <v>2.6120115584149359</v>
      </c>
      <c r="G142" s="5">
        <v>0.35</v>
      </c>
      <c r="H142" s="4">
        <v>20000000</v>
      </c>
      <c r="I142" s="4">
        <f t="shared" si="38"/>
        <v>20000000</v>
      </c>
      <c r="J142" s="3">
        <v>210000000000</v>
      </c>
      <c r="K142" s="4">
        <f t="shared" si="39"/>
        <v>8.068662985464975E-2</v>
      </c>
      <c r="L142" s="6">
        <f t="shared" si="29"/>
        <v>2.8240320449127414</v>
      </c>
      <c r="M142" s="4">
        <f t="shared" si="30"/>
        <v>18599046.512083884</v>
      </c>
      <c r="N142" s="4">
        <f t="shared" si="31"/>
        <v>1152548231.6951718</v>
      </c>
      <c r="O142" s="4">
        <f t="shared" si="32"/>
        <v>88516852111.754929</v>
      </c>
      <c r="P142" s="4">
        <f t="shared" si="33"/>
        <v>-7142126482.2399416</v>
      </c>
      <c r="Q142" s="4">
        <f t="shared" si="36"/>
        <v>0</v>
      </c>
      <c r="R142" s="4">
        <f t="shared" si="36"/>
        <v>0</v>
      </c>
      <c r="S142" s="4">
        <f t="shared" si="36"/>
        <v>0</v>
      </c>
      <c r="T142" s="3"/>
      <c r="U142" s="4">
        <f t="shared" si="34"/>
        <v>54000000</v>
      </c>
      <c r="V142">
        <f t="shared" si="35"/>
        <v>548522427267.13654</v>
      </c>
    </row>
    <row r="143" spans="1:22" x14ac:dyDescent="0.5">
      <c r="A143" s="3">
        <v>15</v>
      </c>
      <c r="B143" s="5">
        <v>1</v>
      </c>
      <c r="C143" s="3">
        <v>5</v>
      </c>
      <c r="D143" s="3">
        <v>35</v>
      </c>
      <c r="E143" s="3">
        <v>5.5E-2</v>
      </c>
      <c r="F143" s="3">
        <f t="shared" si="28"/>
        <v>2.6120115584149359</v>
      </c>
      <c r="G143" s="5">
        <v>0.35</v>
      </c>
      <c r="H143" s="4">
        <v>20000000</v>
      </c>
      <c r="I143" s="4">
        <f t="shared" si="38"/>
        <v>20000000</v>
      </c>
      <c r="J143" s="3">
        <v>210000000000</v>
      </c>
      <c r="K143" s="4">
        <f t="shared" si="39"/>
        <v>8.068662985464975E-2</v>
      </c>
      <c r="L143" s="6">
        <f t="shared" si="29"/>
        <v>2.8240320449127414</v>
      </c>
      <c r="M143" s="4">
        <f t="shared" si="30"/>
        <v>18599046.512083884</v>
      </c>
      <c r="N143" s="4">
        <f t="shared" si="31"/>
        <v>1152548231.6951718</v>
      </c>
      <c r="O143" s="4">
        <f t="shared" si="32"/>
        <v>88516852111.754929</v>
      </c>
      <c r="P143" s="4">
        <f t="shared" si="33"/>
        <v>-7142126482.2399416</v>
      </c>
      <c r="Q143" s="4">
        <f t="shared" si="36"/>
        <v>0</v>
      </c>
      <c r="R143" s="4">
        <f t="shared" si="36"/>
        <v>0</v>
      </c>
      <c r="S143" s="4">
        <f t="shared" si="36"/>
        <v>0</v>
      </c>
      <c r="T143" s="3"/>
      <c r="U143" s="4">
        <f t="shared" si="34"/>
        <v>54000000</v>
      </c>
      <c r="V143">
        <f t="shared" si="35"/>
        <v>548522427267.13654</v>
      </c>
    </row>
    <row r="144" spans="1:22" x14ac:dyDescent="0.5">
      <c r="A144" s="3">
        <v>15</v>
      </c>
      <c r="B144" s="3">
        <v>0.99743918099999995</v>
      </c>
      <c r="C144" s="3">
        <v>5</v>
      </c>
      <c r="D144" s="3">
        <v>35</v>
      </c>
      <c r="E144" s="3">
        <v>5.5E-2</v>
      </c>
      <c r="F144" s="3">
        <f t="shared" si="28"/>
        <v>2.6120115584149359</v>
      </c>
      <c r="G144" s="5">
        <v>0.35</v>
      </c>
      <c r="H144" s="4">
        <v>20000000</v>
      </c>
      <c r="I144" s="4">
        <f t="shared" si="38"/>
        <v>19948783.619999997</v>
      </c>
      <c r="J144" s="3">
        <v>210000000000</v>
      </c>
      <c r="K144" s="4">
        <f t="shared" si="39"/>
        <v>8.068662985464975E-2</v>
      </c>
      <c r="L144" s="6">
        <f t="shared" si="29"/>
        <v>2.8240320449127414</v>
      </c>
      <c r="M144" s="4">
        <f t="shared" si="30"/>
        <v>18547454.164265174</v>
      </c>
      <c r="N144" s="4">
        <f t="shared" si="31"/>
        <v>1149351150.1023695</v>
      </c>
      <c r="O144" s="4">
        <f t="shared" si="32"/>
        <v>88271313061.191223</v>
      </c>
      <c r="P144" s="4">
        <f t="shared" si="33"/>
        <v>-7122314763.7522469</v>
      </c>
      <c r="Q144" s="4">
        <f t="shared" si="36"/>
        <v>3197081.5928022861</v>
      </c>
      <c r="R144" s="4">
        <f t="shared" si="36"/>
        <v>245539050.56370544</v>
      </c>
      <c r="S144" s="4">
        <f t="shared" si="36"/>
        <v>-19811718.48769474</v>
      </c>
      <c r="T144" s="3"/>
      <c r="U144" s="4">
        <f t="shared" si="34"/>
        <v>53861715.773999996</v>
      </c>
      <c r="V144">
        <f t="shared" si="35"/>
        <v>548522427267.13654</v>
      </c>
    </row>
    <row r="145" spans="1:22" x14ac:dyDescent="0.5">
      <c r="A145" s="3">
        <v>15</v>
      </c>
      <c r="B145" s="3">
        <v>0.98975672199999998</v>
      </c>
      <c r="C145" s="3">
        <v>5</v>
      </c>
      <c r="D145" s="3">
        <v>35</v>
      </c>
      <c r="E145" s="3">
        <v>5.5E-2</v>
      </c>
      <c r="F145" s="3">
        <f t="shared" si="28"/>
        <v>2.6120115584149359</v>
      </c>
      <c r="G145" s="5">
        <v>0.35</v>
      </c>
      <c r="H145" s="4">
        <v>20000000</v>
      </c>
      <c r="I145" s="4">
        <f t="shared" si="38"/>
        <v>19795134.440000001</v>
      </c>
      <c r="J145" s="3">
        <v>210000000000</v>
      </c>
      <c r="K145" s="4">
        <f t="shared" si="39"/>
        <v>8.068662985464975E-2</v>
      </c>
      <c r="L145" s="6">
        <f t="shared" si="29"/>
        <v>2.8240320449127414</v>
      </c>
      <c r="M145" s="4">
        <f t="shared" si="30"/>
        <v>18392743.406748638</v>
      </c>
      <c r="N145" s="4">
        <f t="shared" si="31"/>
        <v>1139764012.9400394</v>
      </c>
      <c r="O145" s="4">
        <f t="shared" si="32"/>
        <v>87535011378.505966</v>
      </c>
      <c r="P145" s="4">
        <f t="shared" si="33"/>
        <v>-7062905062.4200649</v>
      </c>
      <c r="Q145" s="4">
        <f t="shared" si="36"/>
        <v>9587137.1623301506</v>
      </c>
      <c r="R145" s="4">
        <f t="shared" si="36"/>
        <v>736301682.68525696</v>
      </c>
      <c r="S145" s="4">
        <f t="shared" si="36"/>
        <v>-59409701.332181931</v>
      </c>
      <c r="T145" s="3"/>
      <c r="U145" s="4">
        <f t="shared" si="34"/>
        <v>53446862.988000005</v>
      </c>
      <c r="V145">
        <f t="shared" si="35"/>
        <v>548522427267.13654</v>
      </c>
    </row>
    <row r="146" spans="1:22" x14ac:dyDescent="0.5">
      <c r="A146" s="3">
        <v>15</v>
      </c>
      <c r="B146" s="3">
        <v>0.98143405900000003</v>
      </c>
      <c r="C146" s="3">
        <v>5</v>
      </c>
      <c r="D146" s="3">
        <v>35</v>
      </c>
      <c r="E146" s="3">
        <v>5.5E-2</v>
      </c>
      <c r="F146" s="3">
        <f t="shared" si="28"/>
        <v>2.6120115584149359</v>
      </c>
      <c r="G146" s="5">
        <v>0.35</v>
      </c>
      <c r="H146" s="4">
        <v>20000000</v>
      </c>
      <c r="I146" s="4">
        <f t="shared" si="38"/>
        <v>19628681.18</v>
      </c>
      <c r="J146" s="3">
        <v>210000000000</v>
      </c>
      <c r="K146" s="4">
        <f t="shared" si="39"/>
        <v>8.068662985464975E-2</v>
      </c>
      <c r="L146" s="6">
        <f t="shared" si="29"/>
        <v>2.8240320449127414</v>
      </c>
      <c r="M146" s="4">
        <f t="shared" si="30"/>
        <v>18225253.019597471</v>
      </c>
      <c r="N146" s="4">
        <f t="shared" si="31"/>
        <v>1129384945.958751</v>
      </c>
      <c r="O146" s="4">
        <f t="shared" si="32"/>
        <v>86737888696.976669</v>
      </c>
      <c r="P146" s="4">
        <f t="shared" si="33"/>
        <v>-6998587919.6667652</v>
      </c>
      <c r="Q146" s="4">
        <f t="shared" si="36"/>
        <v>10379066.981288433</v>
      </c>
      <c r="R146" s="4">
        <f t="shared" si="36"/>
        <v>797122681.52929688</v>
      </c>
      <c r="S146" s="4">
        <f t="shared" si="36"/>
        <v>-64317142.753299713</v>
      </c>
      <c r="T146" s="3"/>
      <c r="U146" s="4">
        <f t="shared" si="34"/>
        <v>52997439.186000004</v>
      </c>
      <c r="V146">
        <f t="shared" si="35"/>
        <v>548522427267.13654</v>
      </c>
    </row>
    <row r="147" spans="1:22" x14ac:dyDescent="0.5">
      <c r="A147" s="3">
        <v>15</v>
      </c>
      <c r="B147" s="3">
        <v>0.97055057600000005</v>
      </c>
      <c r="C147" s="3">
        <v>5</v>
      </c>
      <c r="D147" s="3">
        <v>35</v>
      </c>
      <c r="E147" s="3">
        <v>5.5E-2</v>
      </c>
      <c r="F147" s="3">
        <f t="shared" si="28"/>
        <v>2.6120115584149359</v>
      </c>
      <c r="G147" s="5">
        <v>0.35</v>
      </c>
      <c r="H147" s="4">
        <v>20000000</v>
      </c>
      <c r="I147" s="4">
        <f t="shared" si="38"/>
        <v>19411011.52</v>
      </c>
      <c r="J147" s="3">
        <v>210000000000</v>
      </c>
      <c r="K147" s="4">
        <f t="shared" si="39"/>
        <v>8.068662985464975E-2</v>
      </c>
      <c r="L147" s="6">
        <f t="shared" si="29"/>
        <v>2.8240320449127414</v>
      </c>
      <c r="M147" s="4">
        <f t="shared" si="30"/>
        <v>18006405.790936004</v>
      </c>
      <c r="N147" s="4">
        <f t="shared" si="31"/>
        <v>1115823391.2714565</v>
      </c>
      <c r="O147" s="4">
        <f t="shared" si="32"/>
        <v>85696347789.924881</v>
      </c>
      <c r="P147" s="4">
        <f t="shared" si="33"/>
        <v>-6914549494.0210009</v>
      </c>
      <c r="Q147" s="4">
        <f t="shared" si="36"/>
        <v>13561554.687294483</v>
      </c>
      <c r="R147" s="4">
        <f t="shared" si="36"/>
        <v>1041540907.0517883</v>
      </c>
      <c r="S147" s="4">
        <f t="shared" si="36"/>
        <v>-84038425.645764351</v>
      </c>
      <c r="T147" s="3"/>
      <c r="U147" s="4">
        <f t="shared" si="34"/>
        <v>52409731.104000002</v>
      </c>
      <c r="V147">
        <f t="shared" si="35"/>
        <v>548522427267.13654</v>
      </c>
    </row>
    <row r="148" spans="1:22" x14ac:dyDescent="0.5">
      <c r="A148" s="3">
        <v>15</v>
      </c>
      <c r="B148" s="3">
        <v>0.95582586400000003</v>
      </c>
      <c r="C148" s="3">
        <v>5</v>
      </c>
      <c r="D148" s="3">
        <v>35</v>
      </c>
      <c r="E148" s="3">
        <v>5.5E-2</v>
      </c>
      <c r="F148" s="3">
        <f t="shared" si="28"/>
        <v>2.6120115584149359</v>
      </c>
      <c r="G148" s="5">
        <v>0.35</v>
      </c>
      <c r="H148" s="4">
        <v>20000000</v>
      </c>
      <c r="I148" s="4">
        <f t="shared" si="38"/>
        <v>19116517.280000001</v>
      </c>
      <c r="J148" s="3">
        <v>210000000000</v>
      </c>
      <c r="K148" s="4">
        <f t="shared" si="39"/>
        <v>8.068662985464975E-2</v>
      </c>
      <c r="L148" s="6">
        <f t="shared" si="29"/>
        <v>2.8240320449127414</v>
      </c>
      <c r="M148" s="4">
        <f t="shared" si="30"/>
        <v>17710644.134572793</v>
      </c>
      <c r="N148" s="4">
        <f t="shared" si="31"/>
        <v>1097495592.9177513</v>
      </c>
      <c r="O148" s="4">
        <f t="shared" si="32"/>
        <v>84288754622.19873</v>
      </c>
      <c r="P148" s="4">
        <f t="shared" si="33"/>
        <v>-6800975545.1107464</v>
      </c>
      <c r="Q148" s="4">
        <f t="shared" si="36"/>
        <v>18327798.353705168</v>
      </c>
      <c r="R148" s="4">
        <f t="shared" si="36"/>
        <v>1407593167.7261505</v>
      </c>
      <c r="S148" s="4">
        <f t="shared" si="36"/>
        <v>-113573948.91025448</v>
      </c>
      <c r="T148" s="3"/>
      <c r="U148" s="4">
        <f t="shared" si="34"/>
        <v>51614596.656000003</v>
      </c>
      <c r="V148">
        <f t="shared" si="35"/>
        <v>548522427267.13654</v>
      </c>
    </row>
    <row r="149" spans="1:22" x14ac:dyDescent="0.5">
      <c r="A149" s="3">
        <v>15</v>
      </c>
      <c r="B149" s="3">
        <v>0.93854033299999995</v>
      </c>
      <c r="C149" s="3">
        <v>5</v>
      </c>
      <c r="D149" s="3">
        <v>35</v>
      </c>
      <c r="E149" s="3">
        <v>5.5E-2</v>
      </c>
      <c r="F149" s="3">
        <f t="shared" si="28"/>
        <v>2.6120115584149359</v>
      </c>
      <c r="G149" s="5">
        <v>0.35</v>
      </c>
      <c r="H149" s="4">
        <v>20000000</v>
      </c>
      <c r="I149" s="4">
        <f t="shared" si="38"/>
        <v>18770806.66</v>
      </c>
      <c r="J149" s="3">
        <v>210000000000</v>
      </c>
      <c r="K149" s="4">
        <f t="shared" si="39"/>
        <v>8.068662985464975E-2</v>
      </c>
      <c r="L149" s="6">
        <f t="shared" si="29"/>
        <v>2.8240320449127414</v>
      </c>
      <c r="M149" s="4">
        <f t="shared" si="30"/>
        <v>17363930.266352035</v>
      </c>
      <c r="N149" s="4">
        <f t="shared" si="31"/>
        <v>1076010381.0031295</v>
      </c>
      <c r="O149" s="4">
        <f t="shared" si="32"/>
        <v>82638668948.266357</v>
      </c>
      <c r="P149" s="4">
        <f t="shared" si="33"/>
        <v>-6667835693.1097059</v>
      </c>
      <c r="Q149" s="4">
        <f t="shared" si="36"/>
        <v>21485211.91462183</v>
      </c>
      <c r="R149" s="4">
        <f t="shared" si="36"/>
        <v>1650085673.932373</v>
      </c>
      <c r="S149" s="4">
        <f t="shared" si="36"/>
        <v>-133139852.00104046</v>
      </c>
      <c r="T149" s="3"/>
      <c r="U149" s="4">
        <f t="shared" si="34"/>
        <v>50681177.982000001</v>
      </c>
      <c r="V149">
        <f t="shared" si="35"/>
        <v>548522427267.13654</v>
      </c>
    </row>
    <row r="150" spans="1:22" x14ac:dyDescent="0.5">
      <c r="A150" s="3">
        <v>15</v>
      </c>
      <c r="B150" s="3">
        <v>0.91997439199999997</v>
      </c>
      <c r="C150" s="3">
        <v>5</v>
      </c>
      <c r="D150" s="3">
        <v>35</v>
      </c>
      <c r="E150" s="3">
        <v>5.5E-2</v>
      </c>
      <c r="F150" s="3">
        <f t="shared" si="28"/>
        <v>2.6120115584149359</v>
      </c>
      <c r="G150" s="5">
        <v>0.35</v>
      </c>
      <c r="H150" s="4">
        <v>20000000</v>
      </c>
      <c r="I150" s="4">
        <f t="shared" si="38"/>
        <v>18399487.84</v>
      </c>
      <c r="J150" s="3">
        <v>210000000000</v>
      </c>
      <c r="K150" s="4">
        <f t="shared" si="39"/>
        <v>8.068662985464975E-2</v>
      </c>
      <c r="L150" s="6">
        <f t="shared" si="29"/>
        <v>2.8240320449127414</v>
      </c>
      <c r="M150" s="4">
        <f t="shared" si="30"/>
        <v>16992126.428364195</v>
      </c>
      <c r="N150" s="4">
        <f t="shared" si="31"/>
        <v>1052970390.4459819</v>
      </c>
      <c r="O150" s="4">
        <f t="shared" si="32"/>
        <v>80869174726.056091</v>
      </c>
      <c r="P150" s="4">
        <f t="shared" si="33"/>
        <v>-6525061167.7722845</v>
      </c>
      <c r="Q150" s="4">
        <f t="shared" si="36"/>
        <v>23039990.557147622</v>
      </c>
      <c r="R150" s="4">
        <f t="shared" si="36"/>
        <v>1769494222.2102661</v>
      </c>
      <c r="S150" s="4">
        <f t="shared" si="36"/>
        <v>-142774525.33742142</v>
      </c>
      <c r="T150" s="3"/>
      <c r="U150" s="4">
        <f t="shared" si="34"/>
        <v>49678617.168000005</v>
      </c>
      <c r="V150">
        <f t="shared" si="35"/>
        <v>548522427267.13654</v>
      </c>
    </row>
    <row r="151" spans="1:22" x14ac:dyDescent="0.5">
      <c r="A151" s="3">
        <v>15</v>
      </c>
      <c r="B151" s="3">
        <v>0.89948783600000004</v>
      </c>
      <c r="C151" s="3">
        <v>5</v>
      </c>
      <c r="D151" s="3">
        <v>35</v>
      </c>
      <c r="E151" s="3">
        <v>5.5E-2</v>
      </c>
      <c r="F151" s="3">
        <f t="shared" si="28"/>
        <v>2.6120115584149359</v>
      </c>
      <c r="G151" s="5">
        <v>0.35</v>
      </c>
      <c r="H151" s="4">
        <v>20000000</v>
      </c>
      <c r="I151" s="4">
        <f t="shared" si="38"/>
        <v>17989756.720000003</v>
      </c>
      <c r="J151" s="3">
        <v>210000000000</v>
      </c>
      <c r="K151" s="4">
        <f t="shared" si="39"/>
        <v>8.068662985464975E-2</v>
      </c>
      <c r="L151" s="6">
        <f t="shared" si="29"/>
        <v>2.8240320449127414</v>
      </c>
      <c r="M151" s="4">
        <f t="shared" si="30"/>
        <v>16582585.671758117</v>
      </c>
      <c r="N151" s="4">
        <f t="shared" si="31"/>
        <v>1027591913.4080992</v>
      </c>
      <c r="O151" s="4">
        <f t="shared" si="32"/>
        <v>78920082413.034363</v>
      </c>
      <c r="P151" s="4">
        <f t="shared" si="33"/>
        <v>-6367795477.7589569</v>
      </c>
      <c r="Q151" s="4">
        <f t="shared" si="36"/>
        <v>25378477.037882686</v>
      </c>
      <c r="R151" s="4">
        <f t="shared" si="36"/>
        <v>1949092313.0217285</v>
      </c>
      <c r="S151" s="4">
        <f t="shared" si="36"/>
        <v>-157265690.0133276</v>
      </c>
      <c r="T151" s="3"/>
      <c r="U151" s="4">
        <f t="shared" si="34"/>
        <v>48572343.144000009</v>
      </c>
      <c r="V151">
        <f t="shared" si="35"/>
        <v>548522427267.13654</v>
      </c>
    </row>
    <row r="152" spans="1:22" x14ac:dyDescent="0.5">
      <c r="A152" s="3">
        <v>15</v>
      </c>
      <c r="B152" s="3">
        <v>0.875800256</v>
      </c>
      <c r="C152" s="3">
        <v>5</v>
      </c>
      <c r="D152" s="3">
        <v>35</v>
      </c>
      <c r="E152" s="3">
        <v>5.5E-2</v>
      </c>
      <c r="F152" s="3">
        <f t="shared" si="28"/>
        <v>2.6120115584149359</v>
      </c>
      <c r="G152" s="5">
        <v>0.35</v>
      </c>
      <c r="H152" s="4">
        <v>20000000</v>
      </c>
      <c r="I152" s="4">
        <f t="shared" si="38"/>
        <v>17516005.120000001</v>
      </c>
      <c r="J152" s="3">
        <v>210000000000</v>
      </c>
      <c r="K152" s="4">
        <f t="shared" si="39"/>
        <v>8.068662985464975E-2</v>
      </c>
      <c r="L152" s="6">
        <f t="shared" si="29"/>
        <v>2.8240320449127414</v>
      </c>
      <c r="M152" s="4">
        <f t="shared" si="30"/>
        <v>16110023.377052816</v>
      </c>
      <c r="N152" s="4">
        <f t="shared" si="31"/>
        <v>998308109.16713727</v>
      </c>
      <c r="O152" s="4">
        <f t="shared" si="32"/>
        <v>76671057081.179657</v>
      </c>
      <c r="P152" s="4">
        <f t="shared" si="33"/>
        <v>-6186329203.2738647</v>
      </c>
      <c r="Q152" s="4">
        <f t="shared" si="36"/>
        <v>29283804.240961909</v>
      </c>
      <c r="R152" s="4">
        <f t="shared" si="36"/>
        <v>2249025331.8547058</v>
      </c>
      <c r="S152" s="4">
        <f t="shared" si="36"/>
        <v>-181466274.48509216</v>
      </c>
      <c r="T152" s="3"/>
      <c r="U152" s="4">
        <f t="shared" si="34"/>
        <v>47293213.824000008</v>
      </c>
      <c r="V152">
        <f t="shared" si="35"/>
        <v>548522427267.13654</v>
      </c>
    </row>
    <row r="153" spans="1:22" x14ac:dyDescent="0.5">
      <c r="A153" s="3">
        <v>15</v>
      </c>
      <c r="B153" s="3">
        <v>0.85211267599999996</v>
      </c>
      <c r="C153" s="3">
        <v>5</v>
      </c>
      <c r="D153" s="3">
        <v>35</v>
      </c>
      <c r="E153" s="3">
        <v>5.5E-2</v>
      </c>
      <c r="F153" s="3">
        <f t="shared" si="28"/>
        <v>2.6120115584149359</v>
      </c>
      <c r="G153" s="5">
        <v>0.35</v>
      </c>
      <c r="H153" s="4">
        <v>20000000</v>
      </c>
      <c r="I153" s="4">
        <f t="shared" si="38"/>
        <v>17042253.52</v>
      </c>
      <c r="J153" s="3">
        <v>210000000000</v>
      </c>
      <c r="K153" s="4">
        <f t="shared" si="39"/>
        <v>8.068662985464975E-2</v>
      </c>
      <c r="L153" s="6">
        <f t="shared" si="29"/>
        <v>2.8240320449127414</v>
      </c>
      <c r="M153" s="4">
        <f t="shared" si="30"/>
        <v>15638525.114640258</v>
      </c>
      <c r="N153" s="4">
        <f t="shared" si="31"/>
        <v>969090241.02331209</v>
      </c>
      <c r="O153" s="4">
        <f t="shared" si="32"/>
        <v>74427095707.25621</v>
      </c>
      <c r="P153" s="4">
        <f t="shared" si="33"/>
        <v>-6005271522.4879732</v>
      </c>
      <c r="Q153" s="4">
        <f t="shared" si="36"/>
        <v>29217868.143825173</v>
      </c>
      <c r="R153" s="4">
        <f t="shared" si="36"/>
        <v>2243961373.9234467</v>
      </c>
      <c r="S153" s="4">
        <f t="shared" si="36"/>
        <v>-181057680.78589153</v>
      </c>
      <c r="T153" s="3"/>
      <c r="U153" s="4">
        <f t="shared" si="34"/>
        <v>46014084.504000001</v>
      </c>
      <c r="V153">
        <f t="shared" si="35"/>
        <v>548522427267.13654</v>
      </c>
    </row>
    <row r="154" spans="1:22" x14ac:dyDescent="0.5">
      <c r="A154" s="3">
        <v>15</v>
      </c>
      <c r="B154" s="3">
        <v>0.82202304699999995</v>
      </c>
      <c r="C154" s="3">
        <v>5</v>
      </c>
      <c r="D154" s="3">
        <v>35</v>
      </c>
      <c r="E154" s="3">
        <v>5.5E-2</v>
      </c>
      <c r="F154" s="3">
        <f t="shared" si="28"/>
        <v>2.6120115584149359</v>
      </c>
      <c r="G154" s="5">
        <v>0.35</v>
      </c>
      <c r="H154" s="4">
        <v>20000000</v>
      </c>
      <c r="I154" s="4">
        <f t="shared" si="38"/>
        <v>16440460.939999999</v>
      </c>
      <c r="J154" s="3">
        <v>210000000000</v>
      </c>
      <c r="K154" s="4">
        <f t="shared" si="39"/>
        <v>8.068662985464975E-2</v>
      </c>
      <c r="L154" s="6">
        <f t="shared" si="29"/>
        <v>2.8240320449127414</v>
      </c>
      <c r="M154" s="4">
        <f t="shared" si="30"/>
        <v>15041171.87625817</v>
      </c>
      <c r="N154" s="4">
        <f t="shared" si="31"/>
        <v>932073374.69377458</v>
      </c>
      <c r="O154" s="4">
        <f t="shared" si="32"/>
        <v>71584163505.006409</v>
      </c>
      <c r="P154" s="4">
        <f t="shared" si="33"/>
        <v>-5775884904.1831789</v>
      </c>
      <c r="Q154" s="4">
        <f t="shared" si="36"/>
        <v>37016866.329537511</v>
      </c>
      <c r="R154" s="4">
        <f t="shared" si="36"/>
        <v>2842932202.2498016</v>
      </c>
      <c r="S154" s="4">
        <f t="shared" si="36"/>
        <v>-229386618.30479431</v>
      </c>
      <c r="T154" s="3"/>
      <c r="U154" s="4">
        <f t="shared" si="34"/>
        <v>44389244.538000003</v>
      </c>
      <c r="V154">
        <f t="shared" si="35"/>
        <v>548522427267.13654</v>
      </c>
    </row>
    <row r="155" spans="1:22" x14ac:dyDescent="0.5">
      <c r="A155" s="3">
        <v>15</v>
      </c>
      <c r="B155" s="3">
        <v>0.79001280399999996</v>
      </c>
      <c r="C155" s="3">
        <v>5</v>
      </c>
      <c r="D155" s="3">
        <v>35</v>
      </c>
      <c r="E155" s="3">
        <v>5.5E-2</v>
      </c>
      <c r="F155" s="3">
        <f t="shared" si="28"/>
        <v>2.6120115584149359</v>
      </c>
      <c r="G155" s="5">
        <v>0.35</v>
      </c>
      <c r="H155" s="4">
        <v>20000000</v>
      </c>
      <c r="I155" s="4">
        <f t="shared" si="38"/>
        <v>15800256.08</v>
      </c>
      <c r="J155" s="3">
        <v>210000000000</v>
      </c>
      <c r="K155" s="4">
        <f t="shared" si="39"/>
        <v>8.068662985464975E-2</v>
      </c>
      <c r="L155" s="6">
        <f t="shared" si="29"/>
        <v>2.8240320449127414</v>
      </c>
      <c r="M155" s="4">
        <f t="shared" si="30"/>
        <v>14407688.869967595</v>
      </c>
      <c r="N155" s="4">
        <f t="shared" si="31"/>
        <v>892817614.01621604</v>
      </c>
      <c r="O155" s="4">
        <f t="shared" si="32"/>
        <v>68569281986.929581</v>
      </c>
      <c r="P155" s="4">
        <f t="shared" si="33"/>
        <v>-5532624275.0784893</v>
      </c>
      <c r="Q155" s="4">
        <f t="shared" si="36"/>
        <v>39255760.677558541</v>
      </c>
      <c r="R155" s="4">
        <f t="shared" si="36"/>
        <v>3014881518.076828</v>
      </c>
      <c r="S155" s="4">
        <f t="shared" si="36"/>
        <v>-243260629.1046896</v>
      </c>
      <c r="T155" s="3"/>
      <c r="U155" s="4">
        <f t="shared" si="34"/>
        <v>42660691.416000001</v>
      </c>
      <c r="V155">
        <f t="shared" si="35"/>
        <v>548522427267.13654</v>
      </c>
    </row>
    <row r="156" spans="1:22" x14ac:dyDescent="0.5">
      <c r="A156" s="3">
        <v>15</v>
      </c>
      <c r="B156" s="3">
        <v>0.75736235600000001</v>
      </c>
      <c r="C156" s="3">
        <v>5</v>
      </c>
      <c r="D156" s="3">
        <v>35</v>
      </c>
      <c r="E156" s="3">
        <v>5.5E-2</v>
      </c>
      <c r="F156" s="3">
        <f t="shared" si="28"/>
        <v>2.6120115584149359</v>
      </c>
      <c r="G156" s="5">
        <v>0.35</v>
      </c>
      <c r="H156" s="4">
        <v>20000000</v>
      </c>
      <c r="I156" s="4">
        <f t="shared" si="38"/>
        <v>15147247.120000001</v>
      </c>
      <c r="J156" s="3">
        <v>210000000000</v>
      </c>
      <c r="K156" s="4">
        <f t="shared" si="39"/>
        <v>8.068662985464975E-2</v>
      </c>
      <c r="L156" s="6">
        <f t="shared" si="29"/>
        <v>2.8240320449127414</v>
      </c>
      <c r="M156" s="4">
        <f t="shared" si="30"/>
        <v>13763737.203543492</v>
      </c>
      <c r="N156" s="4">
        <f t="shared" si="31"/>
        <v>852913129.99053979</v>
      </c>
      <c r="O156" s="4">
        <f t="shared" si="32"/>
        <v>65504577869.600395</v>
      </c>
      <c r="P156" s="4">
        <f t="shared" si="33"/>
        <v>-5285343628.3495283</v>
      </c>
      <c r="Q156" s="4">
        <f t="shared" si="36"/>
        <v>39904484.02567625</v>
      </c>
      <c r="R156" s="4">
        <f t="shared" si="36"/>
        <v>3064704117.3291855</v>
      </c>
      <c r="S156" s="4">
        <f t="shared" si="36"/>
        <v>-247280646.72896099</v>
      </c>
      <c r="T156" s="3"/>
      <c r="U156" s="4">
        <f t="shared" si="34"/>
        <v>40897567.224000007</v>
      </c>
      <c r="V156">
        <f t="shared" si="35"/>
        <v>548522427267.13654</v>
      </c>
    </row>
    <row r="157" spans="1:22" x14ac:dyDescent="0.5">
      <c r="A157" s="3">
        <v>15</v>
      </c>
      <c r="B157" s="3">
        <v>0.72599231799999997</v>
      </c>
      <c r="C157" s="3">
        <v>5</v>
      </c>
      <c r="D157" s="3">
        <v>35</v>
      </c>
      <c r="E157" s="3">
        <v>5.5E-2</v>
      </c>
      <c r="F157" s="3">
        <f t="shared" si="28"/>
        <v>2.6120115584149359</v>
      </c>
      <c r="G157" s="5">
        <v>0.35</v>
      </c>
      <c r="H157" s="4">
        <v>20000000</v>
      </c>
      <c r="I157" s="4">
        <f t="shared" si="38"/>
        <v>14519846.359999999</v>
      </c>
      <c r="J157" s="3">
        <v>210000000000</v>
      </c>
      <c r="K157" s="4">
        <f t="shared" si="39"/>
        <v>8.068662985464975E-2</v>
      </c>
      <c r="L157" s="6">
        <f t="shared" si="29"/>
        <v>2.8240320449127414</v>
      </c>
      <c r="M157" s="4">
        <f t="shared" si="30"/>
        <v>13147213.267485339</v>
      </c>
      <c r="N157" s="4">
        <f t="shared" si="31"/>
        <v>814708291.27260303</v>
      </c>
      <c r="O157" s="4">
        <f t="shared" si="32"/>
        <v>62570408204.722122</v>
      </c>
      <c r="P157" s="4">
        <f t="shared" si="33"/>
        <v>-5048595366.6687536</v>
      </c>
      <c r="Q157" s="4">
        <f t="shared" si="36"/>
        <v>38204838.717936754</v>
      </c>
      <c r="R157" s="4">
        <f t="shared" si="36"/>
        <v>2934169664.878273</v>
      </c>
      <c r="S157" s="4">
        <f t="shared" si="36"/>
        <v>-236748261.68077469</v>
      </c>
      <c r="T157" s="3"/>
      <c r="U157" s="4">
        <f t="shared" si="34"/>
        <v>39203585.171999998</v>
      </c>
      <c r="V157">
        <f t="shared" si="35"/>
        <v>548522427267.13654</v>
      </c>
    </row>
    <row r="158" spans="1:22" x14ac:dyDescent="0.5">
      <c r="A158" s="3">
        <v>15</v>
      </c>
      <c r="B158" s="3">
        <v>0.68950064</v>
      </c>
      <c r="C158" s="3">
        <v>5</v>
      </c>
      <c r="D158" s="3">
        <v>35</v>
      </c>
      <c r="E158" s="3">
        <v>5.5E-2</v>
      </c>
      <c r="F158" s="3">
        <f t="shared" si="28"/>
        <v>2.6120115584149359</v>
      </c>
      <c r="G158" s="5">
        <v>0.35</v>
      </c>
      <c r="H158" s="4">
        <v>20000000</v>
      </c>
      <c r="I158" s="4">
        <f t="shared" si="38"/>
        <v>13790012.800000001</v>
      </c>
      <c r="J158" s="3">
        <v>210000000000</v>
      </c>
      <c r="K158" s="4">
        <f t="shared" si="39"/>
        <v>8.068662985464975E-2</v>
      </c>
      <c r="L158" s="6">
        <f t="shared" si="29"/>
        <v>2.8240320449127414</v>
      </c>
      <c r="M158" s="4">
        <f t="shared" si="30"/>
        <v>12432827.563456878</v>
      </c>
      <c r="N158" s="4">
        <f t="shared" si="31"/>
        <v>770439141.27121079</v>
      </c>
      <c r="O158" s="4">
        <f t="shared" si="32"/>
        <v>59170493393.328163</v>
      </c>
      <c r="P158" s="4">
        <f t="shared" si="33"/>
        <v>-4774267698.7444687</v>
      </c>
      <c r="Q158" s="4">
        <f t="shared" si="36"/>
        <v>44269150.001392245</v>
      </c>
      <c r="R158" s="4">
        <f t="shared" si="36"/>
        <v>3399914811.393959</v>
      </c>
      <c r="S158" s="4">
        <f t="shared" si="36"/>
        <v>-274327667.92428493</v>
      </c>
      <c r="T158" s="3"/>
      <c r="U158" s="4">
        <f t="shared" si="34"/>
        <v>37233034.560000002</v>
      </c>
      <c r="V158">
        <f t="shared" si="35"/>
        <v>548522427267.13654</v>
      </c>
    </row>
    <row r="159" spans="1:22" x14ac:dyDescent="0.5">
      <c r="A159" s="3">
        <v>15</v>
      </c>
      <c r="B159" s="3">
        <v>0.64852752899999999</v>
      </c>
      <c r="C159" s="3">
        <v>5</v>
      </c>
      <c r="D159" s="3">
        <v>35</v>
      </c>
      <c r="E159" s="3">
        <v>5.5E-2</v>
      </c>
      <c r="F159" s="3">
        <f t="shared" si="28"/>
        <v>2.6120115584149359</v>
      </c>
      <c r="G159" s="5">
        <v>0.35</v>
      </c>
      <c r="H159" s="4">
        <v>20000000</v>
      </c>
      <c r="I159" s="4">
        <f t="shared" si="38"/>
        <v>12970550.58</v>
      </c>
      <c r="J159" s="3">
        <v>210000000000</v>
      </c>
      <c r="K159" s="4">
        <f t="shared" si="39"/>
        <v>8.068662985464975E-2</v>
      </c>
      <c r="L159" s="6">
        <f t="shared" si="29"/>
        <v>2.8240320449127414</v>
      </c>
      <c r="M159" s="4">
        <f t="shared" si="30"/>
        <v>11634466.258730188</v>
      </c>
      <c r="N159" s="4">
        <f t="shared" si="31"/>
        <v>720966179.87941194</v>
      </c>
      <c r="O159" s="4">
        <f t="shared" si="32"/>
        <v>55370920684.247269</v>
      </c>
      <c r="P159" s="4">
        <f t="shared" si="33"/>
        <v>-4467692981.9610291</v>
      </c>
      <c r="Q159" s="4">
        <f t="shared" si="36"/>
        <v>49472961.391798854</v>
      </c>
      <c r="R159" s="4">
        <f t="shared" si="36"/>
        <v>3799572709.0808945</v>
      </c>
      <c r="S159" s="4">
        <f t="shared" si="36"/>
        <v>-306574716.78343964</v>
      </c>
      <c r="T159" s="3"/>
      <c r="U159" s="4">
        <f t="shared" si="34"/>
        <v>35020486.566</v>
      </c>
      <c r="V159">
        <f t="shared" si="35"/>
        <v>548522427267.13654</v>
      </c>
    </row>
    <row r="160" spans="1:22" x14ac:dyDescent="0.5">
      <c r="A160" s="3">
        <v>15</v>
      </c>
      <c r="B160" s="3">
        <v>0.60499359799999997</v>
      </c>
      <c r="C160" s="3">
        <v>5</v>
      </c>
      <c r="D160" s="3">
        <v>35</v>
      </c>
      <c r="E160" s="3">
        <v>5.5E-2</v>
      </c>
      <c r="F160" s="3">
        <f t="shared" si="28"/>
        <v>2.6120115584149359</v>
      </c>
      <c r="G160" s="5">
        <v>0.35</v>
      </c>
      <c r="H160" s="4">
        <v>20000000</v>
      </c>
      <c r="I160" s="4">
        <f t="shared" si="38"/>
        <v>12099871.959999999</v>
      </c>
      <c r="J160" s="3">
        <v>210000000000</v>
      </c>
      <c r="K160" s="4">
        <f t="shared" si="39"/>
        <v>8.068662985464975E-2</v>
      </c>
      <c r="L160" s="6">
        <f t="shared" si="29"/>
        <v>2.8240320449127414</v>
      </c>
      <c r="M160" s="4">
        <f t="shared" si="30"/>
        <v>10790809.470442355</v>
      </c>
      <c r="N160" s="4">
        <f t="shared" si="31"/>
        <v>668686341.83142233</v>
      </c>
      <c r="O160" s="4">
        <f t="shared" si="32"/>
        <v>51355777052.371643</v>
      </c>
      <c r="P160" s="4">
        <f t="shared" si="33"/>
        <v>-4143724573.922626</v>
      </c>
      <c r="Q160" s="4">
        <f t="shared" si="36"/>
        <v>52279838.047989607</v>
      </c>
      <c r="R160" s="4">
        <f t="shared" si="36"/>
        <v>4015143631.8756256</v>
      </c>
      <c r="S160" s="4">
        <f t="shared" si="36"/>
        <v>-323968408.03840303</v>
      </c>
      <c r="T160" s="3"/>
      <c r="U160" s="4">
        <f t="shared" si="34"/>
        <v>32669654.291999999</v>
      </c>
      <c r="V160">
        <f t="shared" si="35"/>
        <v>548522427267.13654</v>
      </c>
    </row>
    <row r="161" spans="1:22" x14ac:dyDescent="0.5">
      <c r="A161" s="3">
        <v>15</v>
      </c>
      <c r="B161" s="3">
        <v>0.55569782300000004</v>
      </c>
      <c r="C161" s="3">
        <v>5</v>
      </c>
      <c r="D161" s="3">
        <v>35</v>
      </c>
      <c r="E161" s="3">
        <v>5.5E-2</v>
      </c>
      <c r="F161" s="3">
        <f t="shared" si="28"/>
        <v>2.6120115584149359</v>
      </c>
      <c r="G161" s="5">
        <v>0.35</v>
      </c>
      <c r="H161" s="4">
        <v>20000000</v>
      </c>
      <c r="I161" s="4">
        <f t="shared" si="38"/>
        <v>11113956.460000001</v>
      </c>
      <c r="J161" s="3">
        <v>210000000000</v>
      </c>
      <c r="K161" s="4">
        <f t="shared" si="39"/>
        <v>8.068662985464975E-2</v>
      </c>
      <c r="L161" s="6">
        <f t="shared" si="29"/>
        <v>2.8240320449127414</v>
      </c>
      <c r="M161" s="4">
        <f t="shared" si="30"/>
        <v>9841605.0799026564</v>
      </c>
      <c r="N161" s="4">
        <f t="shared" si="31"/>
        <v>609865915.68091822</v>
      </c>
      <c r="O161" s="4">
        <f t="shared" si="32"/>
        <v>46838309739.913315</v>
      </c>
      <c r="P161" s="4">
        <f t="shared" si="33"/>
        <v>-3779225361.001822</v>
      </c>
      <c r="Q161" s="4">
        <f t="shared" si="36"/>
        <v>58820426.150504112</v>
      </c>
      <c r="R161" s="4">
        <f t="shared" si="36"/>
        <v>4517467312.4583282</v>
      </c>
      <c r="S161" s="4">
        <f t="shared" si="36"/>
        <v>-364499212.92080402</v>
      </c>
      <c r="T161" s="3"/>
      <c r="U161" s="4">
        <f t="shared" si="34"/>
        <v>30007682.442000005</v>
      </c>
      <c r="V161">
        <f t="shared" si="35"/>
        <v>548522427267.13654</v>
      </c>
    </row>
    <row r="162" spans="1:22" x14ac:dyDescent="0.5">
      <c r="A162" s="3">
        <v>15</v>
      </c>
      <c r="B162" s="3">
        <v>0.50896286800000001</v>
      </c>
      <c r="C162" s="3">
        <v>5</v>
      </c>
      <c r="D162" s="3">
        <v>35</v>
      </c>
      <c r="E162" s="3">
        <v>5.5E-2</v>
      </c>
      <c r="F162" s="3">
        <f t="shared" si="28"/>
        <v>2.6120115584149359</v>
      </c>
      <c r="G162" s="5">
        <v>0.35</v>
      </c>
      <c r="H162" s="4">
        <v>20000000</v>
      </c>
      <c r="I162" s="4">
        <f t="shared" si="38"/>
        <v>10179257.359999999</v>
      </c>
      <c r="J162" s="3">
        <v>210000000000</v>
      </c>
      <c r="K162" s="4">
        <f t="shared" si="39"/>
        <v>8.068662985464975E-2</v>
      </c>
      <c r="L162" s="6">
        <f t="shared" si="29"/>
        <v>2.8240320449127414</v>
      </c>
      <c r="M162" s="4">
        <f t="shared" si="30"/>
        <v>8948164.3972498998</v>
      </c>
      <c r="N162" s="4">
        <f t="shared" si="31"/>
        <v>554501062.52853</v>
      </c>
      <c r="O162" s="4">
        <f t="shared" si="32"/>
        <v>42586233875.399628</v>
      </c>
      <c r="P162" s="4">
        <f t="shared" si="33"/>
        <v>-3436139689.6079159</v>
      </c>
      <c r="Q162" s="4">
        <f t="shared" si="36"/>
        <v>55364853.152388215</v>
      </c>
      <c r="R162" s="4">
        <f t="shared" si="36"/>
        <v>4252075864.5136871</v>
      </c>
      <c r="S162" s="4">
        <f t="shared" si="36"/>
        <v>-343085671.39390612</v>
      </c>
      <c r="T162" s="3"/>
      <c r="U162" s="4">
        <f t="shared" si="34"/>
        <v>27483994.872000001</v>
      </c>
      <c r="V162">
        <f t="shared" si="35"/>
        <v>548522427267.13654</v>
      </c>
    </row>
    <row r="163" spans="1:22" x14ac:dyDescent="0.5">
      <c r="A163" s="3">
        <v>15</v>
      </c>
      <c r="B163" s="3">
        <v>0.45902688899999999</v>
      </c>
      <c r="C163" s="3">
        <v>5</v>
      </c>
      <c r="D163" s="3">
        <v>35</v>
      </c>
      <c r="E163" s="3">
        <v>5.5E-2</v>
      </c>
      <c r="F163" s="3">
        <f t="shared" si="28"/>
        <v>2.6120115584149359</v>
      </c>
      <c r="G163" s="5">
        <v>0.35</v>
      </c>
      <c r="H163" s="4">
        <v>20000000</v>
      </c>
      <c r="I163" s="4">
        <f t="shared" si="38"/>
        <v>9180537.7799999993</v>
      </c>
      <c r="J163" s="3">
        <v>210000000000</v>
      </c>
      <c r="K163" s="4">
        <f t="shared" si="39"/>
        <v>8.068662985464975E-2</v>
      </c>
      <c r="L163" s="6">
        <f t="shared" si="29"/>
        <v>2.8240320449127414</v>
      </c>
      <c r="M163" s="4">
        <f t="shared" si="30"/>
        <v>8001080.7016646266</v>
      </c>
      <c r="N163" s="4">
        <f t="shared" si="31"/>
        <v>495812051.8900038</v>
      </c>
      <c r="O163" s="4">
        <f t="shared" si="32"/>
        <v>38078859405.148727</v>
      </c>
      <c r="P163" s="4">
        <f t="shared" si="33"/>
        <v>-3072454834.1104836</v>
      </c>
      <c r="Q163" s="4">
        <f t="shared" si="36"/>
        <v>58689010.638526201</v>
      </c>
      <c r="R163" s="4">
        <f t="shared" si="36"/>
        <v>4507374470.2509003</v>
      </c>
      <c r="S163" s="4">
        <f t="shared" si="36"/>
        <v>-363684855.49743223</v>
      </c>
      <c r="T163" s="3"/>
      <c r="U163" s="4">
        <f t="shared" si="34"/>
        <v>24787452.006000001</v>
      </c>
      <c r="V163">
        <f t="shared" si="35"/>
        <v>548522427267.13654</v>
      </c>
    </row>
    <row r="164" spans="1:22" x14ac:dyDescent="0.5">
      <c r="A164" s="3">
        <v>15</v>
      </c>
      <c r="B164" s="3">
        <v>0.41549295800000002</v>
      </c>
      <c r="C164" s="3">
        <v>5</v>
      </c>
      <c r="D164" s="3">
        <v>35</v>
      </c>
      <c r="E164" s="3">
        <v>5.5E-2</v>
      </c>
      <c r="F164" s="3">
        <f t="shared" si="28"/>
        <v>2.6120115584149359</v>
      </c>
      <c r="G164" s="5">
        <v>0.35</v>
      </c>
      <c r="H164" s="4">
        <v>20000000</v>
      </c>
      <c r="I164" s="4">
        <f t="shared" si="38"/>
        <v>8309859.1600000001</v>
      </c>
      <c r="J164" s="3">
        <v>210000000000</v>
      </c>
      <c r="K164" s="4">
        <f t="shared" si="39"/>
        <v>8.068662985464975E-2</v>
      </c>
      <c r="L164" s="6">
        <f t="shared" si="29"/>
        <v>2.8240320449127414</v>
      </c>
      <c r="M164" s="4">
        <f t="shared" si="30"/>
        <v>7182373.5213600695</v>
      </c>
      <c r="N164" s="4">
        <f t="shared" si="31"/>
        <v>445078294.52652305</v>
      </c>
      <c r="O164" s="4">
        <f t="shared" si="32"/>
        <v>34182456309.712269</v>
      </c>
      <c r="P164" s="4">
        <f t="shared" si="33"/>
        <v>-2758067199.7844906</v>
      </c>
      <c r="Q164" s="4">
        <f t="shared" si="36"/>
        <v>50733757.363480747</v>
      </c>
      <c r="R164" s="4">
        <f t="shared" si="36"/>
        <v>3896403095.4364586</v>
      </c>
      <c r="S164" s="4">
        <f t="shared" si="36"/>
        <v>-314387634.32599306</v>
      </c>
      <c r="T164" s="3"/>
      <c r="U164" s="4">
        <f t="shared" si="34"/>
        <v>22436619.732000001</v>
      </c>
      <c r="V164">
        <f t="shared" si="35"/>
        <v>548522427267.13654</v>
      </c>
    </row>
    <row r="165" spans="1:22" x14ac:dyDescent="0.5">
      <c r="A165" s="3">
        <v>15</v>
      </c>
      <c r="B165" s="3">
        <v>0.36747759299999999</v>
      </c>
      <c r="C165" s="3">
        <v>5</v>
      </c>
      <c r="D165" s="3">
        <v>35</v>
      </c>
      <c r="E165" s="3">
        <v>5.5E-2</v>
      </c>
      <c r="F165" s="3">
        <f t="shared" si="28"/>
        <v>2.6120115584149359</v>
      </c>
      <c r="G165" s="5">
        <v>0.35</v>
      </c>
      <c r="H165" s="4">
        <v>20000000</v>
      </c>
      <c r="I165" s="4">
        <f t="shared" si="38"/>
        <v>7349551.8599999994</v>
      </c>
      <c r="J165" s="3">
        <v>210000000000</v>
      </c>
      <c r="K165" s="4">
        <f t="shared" si="39"/>
        <v>8.068662985464975E-2</v>
      </c>
      <c r="L165" s="6">
        <f t="shared" si="29"/>
        <v>2.8240320449127414</v>
      </c>
      <c r="M165" s="4">
        <f t="shared" si="30"/>
        <v>6287685.0843202025</v>
      </c>
      <c r="N165" s="4">
        <f t="shared" si="31"/>
        <v>389636120.36138725</v>
      </c>
      <c r="O165" s="4">
        <f t="shared" si="32"/>
        <v>29924442114.409206</v>
      </c>
      <c r="P165" s="4">
        <f t="shared" si="33"/>
        <v>-2414502384.492228</v>
      </c>
      <c r="Q165" s="4">
        <f t="shared" si="36"/>
        <v>55442174.165135801</v>
      </c>
      <c r="R165" s="4">
        <f t="shared" si="36"/>
        <v>4258014195.3030624</v>
      </c>
      <c r="S165" s="4">
        <f t="shared" si="36"/>
        <v>-343564815.29226255</v>
      </c>
      <c r="T165" s="3"/>
      <c r="U165" s="4">
        <f t="shared" si="34"/>
        <v>19843790.022</v>
      </c>
      <c r="V165">
        <f t="shared" si="35"/>
        <v>548522427267.13654</v>
      </c>
    </row>
    <row r="166" spans="1:22" x14ac:dyDescent="0.5">
      <c r="A166" s="3">
        <v>15</v>
      </c>
      <c r="B166" s="3">
        <v>0.32522407199999998</v>
      </c>
      <c r="C166" s="3">
        <v>5</v>
      </c>
      <c r="D166" s="3">
        <v>35</v>
      </c>
      <c r="E166" s="3">
        <v>5.5E-2</v>
      </c>
      <c r="F166" s="3">
        <f t="shared" si="28"/>
        <v>2.6120115584149359</v>
      </c>
      <c r="G166" s="5">
        <v>0.35</v>
      </c>
      <c r="H166" s="4">
        <v>20000000</v>
      </c>
      <c r="I166" s="4">
        <f t="shared" si="38"/>
        <v>6504481.4399999995</v>
      </c>
      <c r="J166" s="3">
        <v>210000000000</v>
      </c>
      <c r="K166" s="4">
        <f t="shared" si="39"/>
        <v>8.068662985464975E-2</v>
      </c>
      <c r="L166" s="6">
        <f t="shared" si="29"/>
        <v>2.8240320449127414</v>
      </c>
      <c r="M166" s="4">
        <f t="shared" si="30"/>
        <v>5508354.9855927853</v>
      </c>
      <c r="N166" s="4">
        <f t="shared" si="31"/>
        <v>341342487.31887978</v>
      </c>
      <c r="O166" s="4">
        <f t="shared" si="32"/>
        <v>26215442997.143974</v>
      </c>
      <c r="P166" s="4">
        <f t="shared" si="33"/>
        <v>-2115235745.5862255</v>
      </c>
      <c r="Q166" s="4">
        <f t="shared" si="36"/>
        <v>48293633.04250747</v>
      </c>
      <c r="R166" s="4">
        <f t="shared" si="36"/>
        <v>3708999117.2652321</v>
      </c>
      <c r="S166" s="4">
        <f t="shared" si="36"/>
        <v>-299266638.90600252</v>
      </c>
      <c r="T166" s="3"/>
      <c r="U166" s="4">
        <f t="shared" si="34"/>
        <v>17562099.888</v>
      </c>
      <c r="V166">
        <f t="shared" si="35"/>
        <v>548522427267.13654</v>
      </c>
    </row>
    <row r="167" spans="1:22" x14ac:dyDescent="0.5">
      <c r="A167" s="3">
        <v>15</v>
      </c>
      <c r="B167" s="3">
        <v>0.28681178000000002</v>
      </c>
      <c r="C167" s="3">
        <v>5</v>
      </c>
      <c r="D167" s="3">
        <v>35</v>
      </c>
      <c r="E167" s="3">
        <v>5.5E-2</v>
      </c>
      <c r="F167" s="3">
        <f t="shared" si="28"/>
        <v>2.6120115584149359</v>
      </c>
      <c r="G167" s="5">
        <v>0.35</v>
      </c>
      <c r="H167" s="4">
        <v>20000000</v>
      </c>
      <c r="I167" s="4">
        <f t="shared" si="38"/>
        <v>5736235.6000000006</v>
      </c>
      <c r="J167" s="3">
        <v>210000000000</v>
      </c>
      <c r="K167" s="4">
        <f t="shared" si="39"/>
        <v>8.068662985464975E-2</v>
      </c>
      <c r="L167" s="6">
        <f t="shared" si="29"/>
        <v>2.8240320449127414</v>
      </c>
      <c r="M167" s="4">
        <f t="shared" si="30"/>
        <v>4807147.1241204897</v>
      </c>
      <c r="N167" s="4">
        <f t="shared" si="31"/>
        <v>297889943.64866674</v>
      </c>
      <c r="O167" s="4">
        <f t="shared" si="32"/>
        <v>22878244365.309978</v>
      </c>
      <c r="P167" s="4">
        <f t="shared" si="33"/>
        <v>-1845968434.8279927</v>
      </c>
      <c r="Q167" s="4">
        <f t="shared" si="36"/>
        <v>43452543.670213044</v>
      </c>
      <c r="R167" s="4">
        <f t="shared" si="36"/>
        <v>3337198631.8339958</v>
      </c>
      <c r="S167" s="4">
        <f t="shared" si="36"/>
        <v>-269267310.75823283</v>
      </c>
      <c r="T167" s="3"/>
      <c r="U167" s="4">
        <f t="shared" si="34"/>
        <v>15487836.120000003</v>
      </c>
      <c r="V167">
        <f t="shared" si="35"/>
        <v>548522427267.13654</v>
      </c>
    </row>
    <row r="168" spans="1:22" x14ac:dyDescent="0.5">
      <c r="A168" s="3">
        <v>15</v>
      </c>
      <c r="B168" s="3">
        <v>0.24903969300000001</v>
      </c>
      <c r="C168" s="3">
        <v>5</v>
      </c>
      <c r="D168" s="3">
        <v>35</v>
      </c>
      <c r="E168" s="3">
        <v>5.5E-2</v>
      </c>
      <c r="F168" s="3">
        <f t="shared" si="28"/>
        <v>2.6120115584149359</v>
      </c>
      <c r="G168" s="5">
        <v>0.35</v>
      </c>
      <c r="H168" s="4">
        <v>20000000</v>
      </c>
      <c r="I168" s="4">
        <f t="shared" si="38"/>
        <v>4980793.8600000003</v>
      </c>
      <c r="J168" s="3">
        <v>210000000000</v>
      </c>
      <c r="K168" s="4">
        <f t="shared" si="39"/>
        <v>8.068662985464975E-2</v>
      </c>
      <c r="L168" s="6">
        <f t="shared" si="29"/>
        <v>2.8240320449127414</v>
      </c>
      <c r="M168" s="4">
        <f t="shared" si="30"/>
        <v>4125231.2640702245</v>
      </c>
      <c r="N168" s="4">
        <f t="shared" si="31"/>
        <v>255632889.33380198</v>
      </c>
      <c r="O168" s="4">
        <f t="shared" si="32"/>
        <v>19632860506.652893</v>
      </c>
      <c r="P168" s="4">
        <f t="shared" si="33"/>
        <v>-1584109348.6882732</v>
      </c>
      <c r="Q168" s="4">
        <f t="shared" si="36"/>
        <v>42257054.314864755</v>
      </c>
      <c r="R168" s="4">
        <f t="shared" si="36"/>
        <v>3245383858.6570854</v>
      </c>
      <c r="S168" s="4">
        <f t="shared" si="36"/>
        <v>-261859086.13971949</v>
      </c>
      <c r="T168" s="3"/>
      <c r="U168" s="4">
        <f t="shared" si="34"/>
        <v>13448143.422000002</v>
      </c>
      <c r="V168">
        <f t="shared" si="35"/>
        <v>548522427267.13654</v>
      </c>
    </row>
    <row r="169" spans="1:22" x14ac:dyDescent="0.5">
      <c r="A169" s="3">
        <v>15</v>
      </c>
      <c r="B169" s="3">
        <v>0.21446862999999999</v>
      </c>
      <c r="C169" s="3">
        <v>5</v>
      </c>
      <c r="D169" s="3">
        <v>35</v>
      </c>
      <c r="E169" s="3">
        <v>5.5E-2</v>
      </c>
      <c r="F169" s="3">
        <f t="shared" si="28"/>
        <v>2.6120115584149359</v>
      </c>
      <c r="G169" s="5">
        <v>0.35</v>
      </c>
      <c r="H169" s="4">
        <v>20000000</v>
      </c>
      <c r="I169" s="4">
        <f t="shared" si="38"/>
        <v>4289372.5999999996</v>
      </c>
      <c r="J169" s="3">
        <v>210000000000</v>
      </c>
      <c r="K169" s="4">
        <f t="shared" si="39"/>
        <v>8.068662985464975E-2</v>
      </c>
      <c r="L169" s="6">
        <f t="shared" si="29"/>
        <v>2.8240320449127414</v>
      </c>
      <c r="M169" s="4">
        <f t="shared" si="30"/>
        <v>3508607.3827078301</v>
      </c>
      <c r="N169" s="4">
        <f t="shared" si="31"/>
        <v>217421857.19172397</v>
      </c>
      <c r="O169" s="4">
        <f t="shared" si="32"/>
        <v>16698215180.632038</v>
      </c>
      <c r="P169" s="4">
        <f t="shared" si="33"/>
        <v>-1347322707.5129507</v>
      </c>
      <c r="Q169" s="4">
        <f t="shared" si="36"/>
        <v>38211032.142078012</v>
      </c>
      <c r="R169" s="4">
        <f t="shared" si="36"/>
        <v>2934645326.0208549</v>
      </c>
      <c r="S169" s="4">
        <f t="shared" si="36"/>
        <v>-236786641.17532253</v>
      </c>
      <c r="T169" s="3"/>
      <c r="U169" s="4">
        <f t="shared" si="34"/>
        <v>11581306.02</v>
      </c>
      <c r="V169">
        <f t="shared" si="35"/>
        <v>548522427267.13654</v>
      </c>
    </row>
    <row r="170" spans="1:22" x14ac:dyDescent="0.5">
      <c r="A170" s="3">
        <v>15</v>
      </c>
      <c r="B170" s="3">
        <v>0.185659411</v>
      </c>
      <c r="C170" s="3">
        <v>5</v>
      </c>
      <c r="D170" s="3">
        <v>35</v>
      </c>
      <c r="E170" s="3">
        <v>5.5E-2</v>
      </c>
      <c r="F170" s="3">
        <f t="shared" si="28"/>
        <v>2.6120115584149359</v>
      </c>
      <c r="G170" s="5">
        <v>0.35</v>
      </c>
      <c r="H170" s="4">
        <v>20000000</v>
      </c>
      <c r="I170" s="4">
        <f t="shared" si="38"/>
        <v>3713188.2199999997</v>
      </c>
      <c r="J170" s="3">
        <v>210000000000</v>
      </c>
      <c r="K170" s="4">
        <f t="shared" si="39"/>
        <v>8.068662985464975E-2</v>
      </c>
      <c r="L170" s="6">
        <f t="shared" si="29"/>
        <v>2.8240320449127414</v>
      </c>
      <c r="M170" s="4">
        <f t="shared" si="30"/>
        <v>3001009.6793944221</v>
      </c>
      <c r="N170" s="4">
        <f t="shared" si="31"/>
        <v>185966974.00799188</v>
      </c>
      <c r="O170" s="4">
        <f t="shared" si="32"/>
        <v>14282448823.616505</v>
      </c>
      <c r="P170" s="4">
        <f t="shared" si="33"/>
        <v>-1152402661.6491227</v>
      </c>
      <c r="Q170" s="4">
        <f t="shared" si="36"/>
        <v>31454883.183732092</v>
      </c>
      <c r="R170" s="4">
        <f t="shared" si="36"/>
        <v>2415766357.0155334</v>
      </c>
      <c r="S170" s="4">
        <f t="shared" si="36"/>
        <v>-194920045.86382794</v>
      </c>
      <c r="T170" s="3"/>
      <c r="U170" s="4">
        <f t="shared" si="34"/>
        <v>10025608.194</v>
      </c>
      <c r="V170">
        <f t="shared" si="35"/>
        <v>548522427267.13654</v>
      </c>
    </row>
    <row r="171" spans="1:22" x14ac:dyDescent="0.5">
      <c r="A171" s="3">
        <v>15</v>
      </c>
      <c r="B171" s="3">
        <v>0.15941101199999999</v>
      </c>
      <c r="C171" s="3">
        <v>5</v>
      </c>
      <c r="D171" s="3">
        <v>35</v>
      </c>
      <c r="E171" s="3">
        <v>5.5E-2</v>
      </c>
      <c r="F171" s="3">
        <f t="shared" si="28"/>
        <v>2.6120115584149359</v>
      </c>
      <c r="G171" s="5">
        <v>0.35</v>
      </c>
      <c r="H171" s="4">
        <v>20000000</v>
      </c>
      <c r="I171" s="4">
        <f t="shared" si="38"/>
        <v>3188220.2399999998</v>
      </c>
      <c r="J171" s="3">
        <v>210000000000</v>
      </c>
      <c r="K171" s="4">
        <f t="shared" si="39"/>
        <v>8.068662985464975E-2</v>
      </c>
      <c r="L171" s="6">
        <f t="shared" si="29"/>
        <v>2.8240320449127414</v>
      </c>
      <c r="M171" s="4">
        <f t="shared" si="30"/>
        <v>2544205.5319825145</v>
      </c>
      <c r="N171" s="4">
        <f t="shared" si="31"/>
        <v>157659672.77141759</v>
      </c>
      <c r="O171" s="4">
        <f t="shared" si="32"/>
        <v>12108419895.0784</v>
      </c>
      <c r="P171" s="4">
        <f t="shared" si="33"/>
        <v>-976987594.19886768</v>
      </c>
      <c r="Q171" s="4">
        <f t="shared" si="36"/>
        <v>28307301.236574292</v>
      </c>
      <c r="R171" s="4">
        <f t="shared" si="36"/>
        <v>2174028928.538105</v>
      </c>
      <c r="S171" s="4">
        <f t="shared" si="36"/>
        <v>-175415067.45025504</v>
      </c>
      <c r="T171" s="3"/>
      <c r="U171" s="4">
        <f t="shared" si="34"/>
        <v>8608194.648</v>
      </c>
      <c r="V171">
        <f t="shared" si="35"/>
        <v>548522427267.13654</v>
      </c>
    </row>
    <row r="172" spans="1:22" x14ac:dyDescent="0.5">
      <c r="A172" s="3">
        <v>15</v>
      </c>
      <c r="B172" s="3">
        <v>0.134443022</v>
      </c>
      <c r="C172" s="3">
        <v>5</v>
      </c>
      <c r="D172" s="3">
        <v>35</v>
      </c>
      <c r="E172" s="3">
        <v>5.5E-2</v>
      </c>
      <c r="F172" s="3">
        <f t="shared" si="28"/>
        <v>2.6120115584149359</v>
      </c>
      <c r="G172" s="5">
        <v>0.35</v>
      </c>
      <c r="H172" s="4">
        <v>20000000</v>
      </c>
      <c r="I172" s="4">
        <f t="shared" si="38"/>
        <v>2688860.44</v>
      </c>
      <c r="J172" s="3">
        <v>210000000000</v>
      </c>
      <c r="K172" s="4">
        <f t="shared" si="39"/>
        <v>8.068662985464975E-2</v>
      </c>
      <c r="L172" s="6">
        <f t="shared" si="29"/>
        <v>2.8240320449127414</v>
      </c>
      <c r="M172" s="4">
        <f t="shared" si="30"/>
        <v>2115471.2879055589</v>
      </c>
      <c r="N172" s="4">
        <f t="shared" si="31"/>
        <v>131091811.10404564</v>
      </c>
      <c r="O172" s="4">
        <f t="shared" si="32"/>
        <v>10067981657.905945</v>
      </c>
      <c r="P172" s="4">
        <f t="shared" si="33"/>
        <v>-812351509.41485989</v>
      </c>
      <c r="Q172" s="4">
        <f t="shared" si="36"/>
        <v>26567861.667371944</v>
      </c>
      <c r="R172" s="4">
        <f t="shared" si="36"/>
        <v>2040438237.1724548</v>
      </c>
      <c r="S172" s="4">
        <f t="shared" si="36"/>
        <v>-164636084.78400779</v>
      </c>
      <c r="T172" s="3"/>
      <c r="U172" s="4">
        <f t="shared" si="34"/>
        <v>7259923.1880000001</v>
      </c>
      <c r="V172">
        <f t="shared" si="35"/>
        <v>548522427267.13654</v>
      </c>
    </row>
    <row r="173" spans="1:22" x14ac:dyDescent="0.5">
      <c r="A173" s="3">
        <v>15</v>
      </c>
      <c r="B173" s="3">
        <v>0.113316261</v>
      </c>
      <c r="C173" s="3">
        <v>5</v>
      </c>
      <c r="D173" s="3">
        <v>35</v>
      </c>
      <c r="E173" s="3">
        <v>5.5E-2</v>
      </c>
      <c r="F173" s="3">
        <f t="shared" si="28"/>
        <v>2.6120115584149359</v>
      </c>
      <c r="G173" s="5">
        <v>0.35</v>
      </c>
      <c r="H173" s="4">
        <v>20000000</v>
      </c>
      <c r="I173" s="4">
        <f t="shared" si="38"/>
        <v>2266325.2200000002</v>
      </c>
      <c r="J173" s="3">
        <v>210000000000</v>
      </c>
      <c r="K173" s="4">
        <f t="shared" si="39"/>
        <v>8.068662985464975E-2</v>
      </c>
      <c r="L173" s="6">
        <f t="shared" si="29"/>
        <v>2.8240320449127414</v>
      </c>
      <c r="M173" s="4">
        <f t="shared" si="30"/>
        <v>1757818.1169316538</v>
      </c>
      <c r="N173" s="4">
        <f t="shared" si="31"/>
        <v>108928710.9957509</v>
      </c>
      <c r="O173" s="4">
        <f t="shared" si="32"/>
        <v>8365833495.5348892</v>
      </c>
      <c r="P173" s="4">
        <f t="shared" si="33"/>
        <v>-675010910.67985427</v>
      </c>
      <c r="Q173" s="4">
        <f t="shared" si="36"/>
        <v>22163100.10829474</v>
      </c>
      <c r="R173" s="4">
        <f t="shared" si="36"/>
        <v>1702148162.3710556</v>
      </c>
      <c r="S173" s="4">
        <f t="shared" si="36"/>
        <v>-137340598.73500562</v>
      </c>
      <c r="T173" s="3"/>
      <c r="U173" s="4">
        <f t="shared" si="34"/>
        <v>6119078.0940000005</v>
      </c>
      <c r="V173">
        <f t="shared" si="35"/>
        <v>548522427267.13654</v>
      </c>
    </row>
    <row r="174" spans="1:22" x14ac:dyDescent="0.5">
      <c r="A174" s="3">
        <v>15</v>
      </c>
      <c r="B174" s="3">
        <v>9.6030729999999995E-2</v>
      </c>
      <c r="C174" s="3">
        <v>5</v>
      </c>
      <c r="D174" s="3">
        <v>35</v>
      </c>
      <c r="E174" s="3">
        <v>5.5E-2</v>
      </c>
      <c r="F174" s="3">
        <f t="shared" si="28"/>
        <v>2.6120115584149359</v>
      </c>
      <c r="G174" s="5">
        <v>0.35</v>
      </c>
      <c r="H174" s="4">
        <v>20000000</v>
      </c>
      <c r="I174" s="4">
        <f t="shared" si="38"/>
        <v>1920614.5999999999</v>
      </c>
      <c r="J174" s="3">
        <v>210000000000</v>
      </c>
      <c r="K174" s="4">
        <f t="shared" si="39"/>
        <v>8.068662985464975E-2</v>
      </c>
      <c r="L174" s="6">
        <f t="shared" si="29"/>
        <v>2.8240320449127414</v>
      </c>
      <c r="M174" s="4">
        <f t="shared" si="30"/>
        <v>1469270.5147703809</v>
      </c>
      <c r="N174" s="4">
        <f t="shared" si="31"/>
        <v>91047954.129274547</v>
      </c>
      <c r="O174" s="4">
        <f t="shared" si="32"/>
        <v>6992573559.2732878</v>
      </c>
      <c r="P174" s="4">
        <f t="shared" si="33"/>
        <v>-564207194.5084945</v>
      </c>
      <c r="Q174" s="4">
        <f t="shared" si="36"/>
        <v>17880756.866476357</v>
      </c>
      <c r="R174" s="4">
        <f t="shared" si="36"/>
        <v>1373259936.2616014</v>
      </c>
      <c r="S174" s="4">
        <f t="shared" si="36"/>
        <v>-110803716.17135978</v>
      </c>
      <c r="T174" s="3"/>
      <c r="U174" s="4">
        <f t="shared" si="34"/>
        <v>5185659.42</v>
      </c>
      <c r="V174">
        <f t="shared" si="35"/>
        <v>548522427267.13654</v>
      </c>
    </row>
    <row r="175" spans="1:22" x14ac:dyDescent="0.5">
      <c r="A175" s="3">
        <v>15</v>
      </c>
      <c r="B175" s="3">
        <v>8.3226632999999994E-2</v>
      </c>
      <c r="C175" s="3">
        <v>5</v>
      </c>
      <c r="D175" s="3">
        <v>35</v>
      </c>
      <c r="E175" s="3">
        <v>5.5E-2</v>
      </c>
      <c r="F175" s="3">
        <f t="shared" si="28"/>
        <v>2.6120115584149359</v>
      </c>
      <c r="G175" s="5">
        <v>0.35</v>
      </c>
      <c r="H175" s="4">
        <v>20000000</v>
      </c>
      <c r="I175" s="4">
        <f t="shared" si="38"/>
        <v>1664532.66</v>
      </c>
      <c r="J175" s="3">
        <v>210000000000</v>
      </c>
      <c r="K175" s="4">
        <f t="shared" si="39"/>
        <v>8.068662985464975E-2</v>
      </c>
      <c r="L175" s="6">
        <f t="shared" si="29"/>
        <v>2.8240320449127414</v>
      </c>
      <c r="M175" s="4">
        <f t="shared" si="30"/>
        <v>1258272.966900395</v>
      </c>
      <c r="N175" s="4">
        <f t="shared" si="31"/>
        <v>77972829.523743227</v>
      </c>
      <c r="O175" s="4">
        <f t="shared" si="32"/>
        <v>5988390966.9766321</v>
      </c>
      <c r="P175" s="4">
        <f t="shared" si="33"/>
        <v>-483183085.37737161</v>
      </c>
      <c r="Q175" s="4">
        <f t="shared" si="36"/>
        <v>13075124.60553132</v>
      </c>
      <c r="R175" s="4">
        <f t="shared" si="36"/>
        <v>1004182592.2966557</v>
      </c>
      <c r="S175" s="4">
        <f t="shared" si="36"/>
        <v>-81024109.131122887</v>
      </c>
      <c r="T175" s="3"/>
      <c r="U175" s="4">
        <f t="shared" si="34"/>
        <v>4494238.182</v>
      </c>
      <c r="V175">
        <f t="shared" si="35"/>
        <v>548522427267.13654</v>
      </c>
    </row>
    <row r="176" spans="1:22" x14ac:dyDescent="0.5">
      <c r="A176" s="3">
        <v>15</v>
      </c>
      <c r="B176" s="3">
        <v>7.7464789000000006E-2</v>
      </c>
      <c r="C176" s="3">
        <v>5</v>
      </c>
      <c r="D176" s="3">
        <v>35</v>
      </c>
      <c r="E176" s="3">
        <v>5.5E-2</v>
      </c>
      <c r="F176" s="3">
        <f t="shared" si="28"/>
        <v>2.6120115584149359</v>
      </c>
      <c r="G176" s="5">
        <v>0.35</v>
      </c>
      <c r="H176" s="4">
        <v>20000000</v>
      </c>
      <c r="I176" s="4">
        <f t="shared" si="38"/>
        <v>1549295.78</v>
      </c>
      <c r="J176" s="3">
        <v>210000000000</v>
      </c>
      <c r="K176" s="4">
        <f t="shared" si="39"/>
        <v>8.068662985464975E-2</v>
      </c>
      <c r="L176" s="6">
        <f t="shared" si="29"/>
        <v>2.8240320449127414</v>
      </c>
      <c r="M176" s="4">
        <f t="shared" si="30"/>
        <v>1164180.6716825906</v>
      </c>
      <c r="N176" s="4">
        <f t="shared" si="31"/>
        <v>72142105.438023955</v>
      </c>
      <c r="O176" s="4">
        <f t="shared" si="32"/>
        <v>5540585549.8957748</v>
      </c>
      <c r="P176" s="4">
        <f t="shared" si="33"/>
        <v>-447051175.44246143</v>
      </c>
      <c r="Q176" s="4">
        <f t="shared" si="36"/>
        <v>5830724.0857192725</v>
      </c>
      <c r="R176" s="4">
        <f t="shared" si="36"/>
        <v>447805417.08085728</v>
      </c>
      <c r="S176" s="4">
        <f t="shared" si="36"/>
        <v>-36131909.934910178</v>
      </c>
      <c r="T176" s="3"/>
      <c r="U176" s="4">
        <f t="shared" si="34"/>
        <v>4183098.6060000001</v>
      </c>
      <c r="V176">
        <f t="shared" si="35"/>
        <v>548522427267.13654</v>
      </c>
    </row>
    <row r="177" spans="1:22" x14ac:dyDescent="0.5">
      <c r="A177" s="3">
        <v>15</v>
      </c>
      <c r="B177" s="3">
        <v>6.9782330000000004E-2</v>
      </c>
      <c r="C177" s="3">
        <v>5</v>
      </c>
      <c r="D177" s="3">
        <v>35</v>
      </c>
      <c r="E177" s="3">
        <v>5.5E-2</v>
      </c>
      <c r="F177" s="3">
        <f t="shared" si="28"/>
        <v>2.6120115584149359</v>
      </c>
      <c r="G177" s="5">
        <v>0.35</v>
      </c>
      <c r="H177" s="4">
        <v>20000000</v>
      </c>
      <c r="I177" s="4">
        <f t="shared" si="38"/>
        <v>1395646.6</v>
      </c>
      <c r="J177" s="3">
        <v>210000000000</v>
      </c>
      <c r="K177" s="4">
        <f t="shared" si="39"/>
        <v>8.068662985464975E-2</v>
      </c>
      <c r="L177" s="6">
        <f t="shared" si="29"/>
        <v>2.8240320449127414</v>
      </c>
      <c r="M177" s="4">
        <f t="shared" si="30"/>
        <v>1039636.7005485566</v>
      </c>
      <c r="N177" s="4">
        <f t="shared" si="31"/>
        <v>64424347.777405977</v>
      </c>
      <c r="O177" s="4">
        <f t="shared" si="32"/>
        <v>4947854074.8107777</v>
      </c>
      <c r="P177" s="4">
        <f t="shared" si="33"/>
        <v>-399225670.30907768</v>
      </c>
      <c r="Q177" s="4">
        <f t="shared" si="36"/>
        <v>7717757.6606179774</v>
      </c>
      <c r="R177" s="4">
        <f t="shared" si="36"/>
        <v>592731475.08499718</v>
      </c>
      <c r="S177" s="4">
        <f t="shared" si="36"/>
        <v>-47825505.133383751</v>
      </c>
      <c r="T177" s="3"/>
      <c r="U177" s="4">
        <f t="shared" si="34"/>
        <v>3768245.8200000003</v>
      </c>
      <c r="V177">
        <f t="shared" si="35"/>
        <v>548522427267.13654</v>
      </c>
    </row>
    <row r="178" spans="1:22" x14ac:dyDescent="0.5">
      <c r="A178" s="3">
        <v>20</v>
      </c>
      <c r="B178" s="3">
        <v>1</v>
      </c>
      <c r="C178" s="3">
        <v>5</v>
      </c>
      <c r="D178" s="3">
        <v>40</v>
      </c>
      <c r="E178" s="3">
        <v>0.06</v>
      </c>
      <c r="F178" s="3">
        <f t="shared" si="28"/>
        <v>2.8409000509219249</v>
      </c>
      <c r="G178" s="5">
        <v>0.4</v>
      </c>
      <c r="H178" s="4">
        <v>25000000</v>
      </c>
      <c r="I178" s="4">
        <f>B178*$H$178</f>
        <v>25000000</v>
      </c>
      <c r="J178" s="3">
        <v>210000000000</v>
      </c>
      <c r="K178" s="4">
        <f>(($M$178*C178)/(4*J178*F178))^(1/4)</f>
        <v>8.6390302122964155E-2</v>
      </c>
      <c r="L178" s="6">
        <f t="shared" si="29"/>
        <v>3.4556120849185663</v>
      </c>
      <c r="M178" s="4">
        <f t="shared" si="30"/>
        <v>26584298.671857044</v>
      </c>
      <c r="N178" s="4">
        <f t="shared" si="31"/>
        <v>1538615910.4998918</v>
      </c>
      <c r="O178" s="4">
        <f t="shared" si="32"/>
        <v>103079009754.12143</v>
      </c>
      <c r="P178" s="4">
        <f t="shared" si="33"/>
        <v>-8905026795.194521</v>
      </c>
      <c r="Q178" s="4">
        <f>N178</f>
        <v>1538615910.4998918</v>
      </c>
      <c r="R178" s="4">
        <f t="shared" ref="R178:S178" si="40">O178</f>
        <v>103079009754.12143</v>
      </c>
      <c r="S178" s="4">
        <f t="shared" si="40"/>
        <v>-8905026795.194521</v>
      </c>
      <c r="T178" s="3"/>
      <c r="U178" s="4">
        <f t="shared" si="34"/>
        <v>70000000</v>
      </c>
      <c r="V178">
        <f t="shared" si="35"/>
        <v>596589010693.60425</v>
      </c>
    </row>
    <row r="179" spans="1:22" x14ac:dyDescent="0.5">
      <c r="A179" s="3">
        <v>20</v>
      </c>
      <c r="B179" s="3">
        <v>1</v>
      </c>
      <c r="C179" s="3">
        <v>5</v>
      </c>
      <c r="D179" s="3">
        <v>40</v>
      </c>
      <c r="E179" s="3">
        <v>0.06</v>
      </c>
      <c r="F179" s="3">
        <f t="shared" si="28"/>
        <v>2.8409000509219249</v>
      </c>
      <c r="G179" s="5">
        <v>0.4</v>
      </c>
      <c r="H179" s="4">
        <v>25000000</v>
      </c>
      <c r="I179" s="4">
        <f t="shared" ref="I179:I221" si="41">B179*$H$178</f>
        <v>25000000</v>
      </c>
      <c r="J179" s="3">
        <v>210000000000</v>
      </c>
      <c r="K179" s="4">
        <f t="shared" ref="K179:K221" si="42">(($M$178*C179)/(4*J179*F179))^(1/4)</f>
        <v>8.6390302122964155E-2</v>
      </c>
      <c r="L179" s="6">
        <f t="shared" si="29"/>
        <v>3.4556120849185663</v>
      </c>
      <c r="M179" s="4">
        <f t="shared" si="30"/>
        <v>26584298.671857044</v>
      </c>
      <c r="N179" s="4">
        <f t="shared" si="31"/>
        <v>1538615910.4998918</v>
      </c>
      <c r="O179" s="4">
        <f t="shared" si="32"/>
        <v>103079009754.12143</v>
      </c>
      <c r="P179" s="4">
        <f t="shared" si="33"/>
        <v>-8905026795.194521</v>
      </c>
      <c r="Q179" s="4">
        <f t="shared" si="36"/>
        <v>0</v>
      </c>
      <c r="R179" s="4">
        <f t="shared" si="36"/>
        <v>0</v>
      </c>
      <c r="S179" s="4">
        <f t="shared" si="36"/>
        <v>0</v>
      </c>
      <c r="T179" s="3"/>
      <c r="U179" s="4">
        <f t="shared" si="34"/>
        <v>70000000</v>
      </c>
      <c r="V179">
        <f t="shared" si="35"/>
        <v>596589010693.60425</v>
      </c>
    </row>
    <row r="180" spans="1:22" x14ac:dyDescent="0.5">
      <c r="A180" s="3">
        <v>20</v>
      </c>
      <c r="B180" s="3">
        <v>1</v>
      </c>
      <c r="C180" s="3">
        <v>5</v>
      </c>
      <c r="D180" s="3">
        <v>40</v>
      </c>
      <c r="E180" s="3">
        <v>0.06</v>
      </c>
      <c r="F180" s="3">
        <f t="shared" si="28"/>
        <v>2.8409000509219249</v>
      </c>
      <c r="G180" s="5">
        <v>0.4</v>
      </c>
      <c r="H180" s="4">
        <v>25000000</v>
      </c>
      <c r="I180" s="4">
        <f t="shared" si="41"/>
        <v>25000000</v>
      </c>
      <c r="J180" s="3">
        <v>210000000000</v>
      </c>
      <c r="K180" s="4">
        <f t="shared" si="42"/>
        <v>8.6390302122964155E-2</v>
      </c>
      <c r="L180" s="6">
        <f t="shared" si="29"/>
        <v>3.4556120849185663</v>
      </c>
      <c r="M180" s="4">
        <f t="shared" si="30"/>
        <v>26584298.671857044</v>
      </c>
      <c r="N180" s="4">
        <f t="shared" si="31"/>
        <v>1538615910.4998918</v>
      </c>
      <c r="O180" s="4">
        <f t="shared" si="32"/>
        <v>103079009754.12143</v>
      </c>
      <c r="P180" s="4">
        <f t="shared" si="33"/>
        <v>-8905026795.194521</v>
      </c>
      <c r="Q180" s="4">
        <f t="shared" si="36"/>
        <v>0</v>
      </c>
      <c r="R180" s="4">
        <f t="shared" si="36"/>
        <v>0</v>
      </c>
      <c r="S180" s="4">
        <f t="shared" si="36"/>
        <v>0</v>
      </c>
      <c r="T180" s="3"/>
      <c r="U180" s="4">
        <f t="shared" si="34"/>
        <v>70000000</v>
      </c>
      <c r="V180">
        <f t="shared" si="35"/>
        <v>596589010693.60425</v>
      </c>
    </row>
    <row r="181" spans="1:22" x14ac:dyDescent="0.5">
      <c r="A181" s="3">
        <v>20</v>
      </c>
      <c r="B181" s="3">
        <v>1</v>
      </c>
      <c r="C181" s="3">
        <v>5</v>
      </c>
      <c r="D181" s="3">
        <v>40</v>
      </c>
      <c r="E181" s="3">
        <v>0.06</v>
      </c>
      <c r="F181" s="3">
        <f t="shared" si="28"/>
        <v>2.8409000509219249</v>
      </c>
      <c r="G181" s="5">
        <v>0.4</v>
      </c>
      <c r="H181" s="4">
        <v>25000000</v>
      </c>
      <c r="I181" s="4">
        <f t="shared" si="41"/>
        <v>25000000</v>
      </c>
      <c r="J181" s="3">
        <v>210000000000</v>
      </c>
      <c r="K181" s="4">
        <f t="shared" si="42"/>
        <v>8.6390302122964155E-2</v>
      </c>
      <c r="L181" s="6">
        <f t="shared" si="29"/>
        <v>3.4556120849185663</v>
      </c>
      <c r="M181" s="4">
        <f t="shared" si="30"/>
        <v>26584298.671857044</v>
      </c>
      <c r="N181" s="4">
        <f t="shared" si="31"/>
        <v>1538615910.4998918</v>
      </c>
      <c r="O181" s="4">
        <f t="shared" si="32"/>
        <v>103079009754.12143</v>
      </c>
      <c r="P181" s="4">
        <f t="shared" si="33"/>
        <v>-8905026795.194521</v>
      </c>
      <c r="Q181" s="4">
        <f t="shared" si="36"/>
        <v>0</v>
      </c>
      <c r="R181" s="4">
        <f t="shared" si="36"/>
        <v>0</v>
      </c>
      <c r="S181" s="4">
        <f t="shared" si="36"/>
        <v>0</v>
      </c>
      <c r="T181" s="3"/>
      <c r="U181" s="4">
        <f t="shared" si="34"/>
        <v>70000000</v>
      </c>
      <c r="V181">
        <f t="shared" si="35"/>
        <v>596589010693.60425</v>
      </c>
    </row>
    <row r="182" spans="1:22" x14ac:dyDescent="0.5">
      <c r="A182" s="3">
        <v>20</v>
      </c>
      <c r="B182" s="3">
        <v>1</v>
      </c>
      <c r="C182" s="3">
        <v>5</v>
      </c>
      <c r="D182" s="3">
        <v>40</v>
      </c>
      <c r="E182" s="3">
        <v>0.06</v>
      </c>
      <c r="F182" s="3">
        <f t="shared" si="28"/>
        <v>2.8409000509219249</v>
      </c>
      <c r="G182" s="5">
        <v>0.4</v>
      </c>
      <c r="H182" s="4">
        <v>25000000</v>
      </c>
      <c r="I182" s="4">
        <f t="shared" si="41"/>
        <v>25000000</v>
      </c>
      <c r="J182" s="3">
        <v>210000000000</v>
      </c>
      <c r="K182" s="4">
        <f t="shared" si="42"/>
        <v>8.6390302122964155E-2</v>
      </c>
      <c r="L182" s="6">
        <f t="shared" si="29"/>
        <v>3.4556120849185663</v>
      </c>
      <c r="M182" s="4">
        <f t="shared" si="30"/>
        <v>26584298.671857044</v>
      </c>
      <c r="N182" s="4">
        <f t="shared" si="31"/>
        <v>1538615910.4998918</v>
      </c>
      <c r="O182" s="4">
        <f t="shared" si="32"/>
        <v>103079009754.12143</v>
      </c>
      <c r="P182" s="4">
        <f t="shared" si="33"/>
        <v>-8905026795.194521</v>
      </c>
      <c r="Q182" s="4">
        <f t="shared" si="36"/>
        <v>0</v>
      </c>
      <c r="R182" s="4">
        <f t="shared" si="36"/>
        <v>0</v>
      </c>
      <c r="S182" s="4">
        <f t="shared" si="36"/>
        <v>0</v>
      </c>
      <c r="T182" s="3"/>
      <c r="U182" s="4">
        <f t="shared" si="34"/>
        <v>70000000</v>
      </c>
      <c r="V182">
        <f t="shared" si="35"/>
        <v>596589010693.60425</v>
      </c>
    </row>
    <row r="183" spans="1:22" x14ac:dyDescent="0.5">
      <c r="A183" s="3">
        <v>20</v>
      </c>
      <c r="B183" s="3">
        <v>1</v>
      </c>
      <c r="C183" s="3">
        <v>5</v>
      </c>
      <c r="D183" s="3">
        <v>40</v>
      </c>
      <c r="E183" s="3">
        <v>0.06</v>
      </c>
      <c r="F183" s="3">
        <f t="shared" si="28"/>
        <v>2.8409000509219249</v>
      </c>
      <c r="G183" s="5">
        <v>0.4</v>
      </c>
      <c r="H183" s="4">
        <v>25000000</v>
      </c>
      <c r="I183" s="4">
        <f t="shared" si="41"/>
        <v>25000000</v>
      </c>
      <c r="J183" s="3">
        <v>210000000000</v>
      </c>
      <c r="K183" s="4">
        <f t="shared" si="42"/>
        <v>8.6390302122964155E-2</v>
      </c>
      <c r="L183" s="6">
        <f t="shared" si="29"/>
        <v>3.4556120849185663</v>
      </c>
      <c r="M183" s="4">
        <f t="shared" si="30"/>
        <v>26584298.671857044</v>
      </c>
      <c r="N183" s="4">
        <f t="shared" si="31"/>
        <v>1538615910.4998918</v>
      </c>
      <c r="O183" s="4">
        <f t="shared" si="32"/>
        <v>103079009754.12143</v>
      </c>
      <c r="P183" s="4">
        <f t="shared" si="33"/>
        <v>-8905026795.194521</v>
      </c>
      <c r="Q183" s="4">
        <f t="shared" si="36"/>
        <v>0</v>
      </c>
      <c r="R183" s="4">
        <f t="shared" si="36"/>
        <v>0</v>
      </c>
      <c r="S183" s="4">
        <f t="shared" si="36"/>
        <v>0</v>
      </c>
      <c r="T183" s="3"/>
      <c r="U183" s="4">
        <f t="shared" si="34"/>
        <v>70000000</v>
      </c>
      <c r="V183">
        <f t="shared" si="35"/>
        <v>596589010693.60425</v>
      </c>
    </row>
    <row r="184" spans="1:22" x14ac:dyDescent="0.5">
      <c r="A184" s="3">
        <v>20</v>
      </c>
      <c r="B184" s="3">
        <v>1</v>
      </c>
      <c r="C184" s="3">
        <v>5</v>
      </c>
      <c r="D184" s="3">
        <v>40</v>
      </c>
      <c r="E184" s="3">
        <v>0.06</v>
      </c>
      <c r="F184" s="3">
        <f t="shared" si="28"/>
        <v>2.8409000509219249</v>
      </c>
      <c r="G184" s="5">
        <v>0.4</v>
      </c>
      <c r="H184" s="4">
        <v>25000000</v>
      </c>
      <c r="I184" s="4">
        <f t="shared" si="41"/>
        <v>25000000</v>
      </c>
      <c r="J184" s="3">
        <v>210000000000</v>
      </c>
      <c r="K184" s="4">
        <f t="shared" si="42"/>
        <v>8.6390302122964155E-2</v>
      </c>
      <c r="L184" s="6">
        <f t="shared" si="29"/>
        <v>3.4556120849185663</v>
      </c>
      <c r="M184" s="4">
        <f t="shared" si="30"/>
        <v>26584298.671857044</v>
      </c>
      <c r="N184" s="4">
        <f t="shared" si="31"/>
        <v>1538615910.4998918</v>
      </c>
      <c r="O184" s="4">
        <f t="shared" si="32"/>
        <v>103079009754.12143</v>
      </c>
      <c r="P184" s="4">
        <f t="shared" si="33"/>
        <v>-8905026795.194521</v>
      </c>
      <c r="Q184" s="4">
        <f t="shared" si="36"/>
        <v>0</v>
      </c>
      <c r="R184" s="4">
        <f t="shared" si="36"/>
        <v>0</v>
      </c>
      <c r="S184" s="4">
        <f t="shared" si="36"/>
        <v>0</v>
      </c>
      <c r="T184" s="3"/>
      <c r="U184" s="4">
        <f t="shared" si="34"/>
        <v>70000000</v>
      </c>
      <c r="V184">
        <f t="shared" si="35"/>
        <v>596589010693.60425</v>
      </c>
    </row>
    <row r="185" spans="1:22" x14ac:dyDescent="0.5">
      <c r="A185" s="3">
        <v>20</v>
      </c>
      <c r="B185" s="3">
        <v>1</v>
      </c>
      <c r="C185" s="3">
        <v>5</v>
      </c>
      <c r="D185" s="3">
        <v>40</v>
      </c>
      <c r="E185" s="3">
        <v>0.06</v>
      </c>
      <c r="F185" s="3">
        <f t="shared" si="28"/>
        <v>2.8409000509219249</v>
      </c>
      <c r="G185" s="5">
        <v>0.4</v>
      </c>
      <c r="H185" s="4">
        <v>25000000</v>
      </c>
      <c r="I185" s="4">
        <f t="shared" si="41"/>
        <v>25000000</v>
      </c>
      <c r="J185" s="3">
        <v>210000000000</v>
      </c>
      <c r="K185" s="4">
        <f t="shared" si="42"/>
        <v>8.6390302122964155E-2</v>
      </c>
      <c r="L185" s="6">
        <f t="shared" si="29"/>
        <v>3.4556120849185663</v>
      </c>
      <c r="M185" s="4">
        <f t="shared" si="30"/>
        <v>26584298.671857044</v>
      </c>
      <c r="N185" s="4">
        <f t="shared" si="31"/>
        <v>1538615910.4998918</v>
      </c>
      <c r="O185" s="4">
        <f t="shared" si="32"/>
        <v>103079009754.12143</v>
      </c>
      <c r="P185" s="4">
        <f t="shared" si="33"/>
        <v>-8905026795.194521</v>
      </c>
      <c r="Q185" s="4">
        <f t="shared" si="36"/>
        <v>0</v>
      </c>
      <c r="R185" s="4">
        <f t="shared" si="36"/>
        <v>0</v>
      </c>
      <c r="S185" s="4">
        <f t="shared" si="36"/>
        <v>0</v>
      </c>
      <c r="T185" s="3"/>
      <c r="U185" s="4">
        <f t="shared" si="34"/>
        <v>70000000</v>
      </c>
      <c r="V185">
        <f t="shared" si="35"/>
        <v>596589010693.60425</v>
      </c>
    </row>
    <row r="186" spans="1:22" x14ac:dyDescent="0.5">
      <c r="A186" s="3">
        <v>20</v>
      </c>
      <c r="B186" s="3">
        <v>1</v>
      </c>
      <c r="C186" s="3">
        <v>5</v>
      </c>
      <c r="D186" s="3">
        <v>40</v>
      </c>
      <c r="E186" s="3">
        <v>0.06</v>
      </c>
      <c r="F186" s="3">
        <f t="shared" si="28"/>
        <v>2.8409000509219249</v>
      </c>
      <c r="G186" s="5">
        <v>0.4</v>
      </c>
      <c r="H186" s="4">
        <v>25000000</v>
      </c>
      <c r="I186" s="4">
        <f t="shared" si="41"/>
        <v>25000000</v>
      </c>
      <c r="J186" s="3">
        <v>210000000000</v>
      </c>
      <c r="K186" s="4">
        <f t="shared" si="42"/>
        <v>8.6390302122964155E-2</v>
      </c>
      <c r="L186" s="6">
        <f t="shared" si="29"/>
        <v>3.4556120849185663</v>
      </c>
      <c r="M186" s="4">
        <f t="shared" si="30"/>
        <v>26584298.671857044</v>
      </c>
      <c r="N186" s="4">
        <f t="shared" si="31"/>
        <v>1538615910.4998918</v>
      </c>
      <c r="O186" s="4">
        <f t="shared" si="32"/>
        <v>103079009754.12143</v>
      </c>
      <c r="P186" s="4">
        <f t="shared" si="33"/>
        <v>-8905026795.194521</v>
      </c>
      <c r="Q186" s="4">
        <f t="shared" si="36"/>
        <v>0</v>
      </c>
      <c r="R186" s="4">
        <f t="shared" si="36"/>
        <v>0</v>
      </c>
      <c r="S186" s="4">
        <f t="shared" si="36"/>
        <v>0</v>
      </c>
      <c r="T186" s="3"/>
      <c r="U186" s="4">
        <f t="shared" si="34"/>
        <v>70000000</v>
      </c>
      <c r="V186">
        <f t="shared" si="35"/>
        <v>596589010693.60425</v>
      </c>
    </row>
    <row r="187" spans="1:22" x14ac:dyDescent="0.5">
      <c r="A187" s="3">
        <v>20</v>
      </c>
      <c r="B187" s="3">
        <v>1</v>
      </c>
      <c r="C187" s="3">
        <v>5</v>
      </c>
      <c r="D187" s="3">
        <v>40</v>
      </c>
      <c r="E187" s="3">
        <v>0.06</v>
      </c>
      <c r="F187" s="3">
        <f t="shared" si="28"/>
        <v>2.8409000509219249</v>
      </c>
      <c r="G187" s="5">
        <v>0.4</v>
      </c>
      <c r="H187" s="4">
        <v>25000000</v>
      </c>
      <c r="I187" s="4">
        <f t="shared" si="41"/>
        <v>25000000</v>
      </c>
      <c r="J187" s="3">
        <v>210000000000</v>
      </c>
      <c r="K187" s="4">
        <f t="shared" si="42"/>
        <v>8.6390302122964155E-2</v>
      </c>
      <c r="L187" s="6">
        <f t="shared" si="29"/>
        <v>3.4556120849185663</v>
      </c>
      <c r="M187" s="4">
        <f t="shared" si="30"/>
        <v>26584298.671857044</v>
      </c>
      <c r="N187" s="4">
        <f t="shared" si="31"/>
        <v>1538615910.4998918</v>
      </c>
      <c r="O187" s="4">
        <f t="shared" si="32"/>
        <v>103079009754.12143</v>
      </c>
      <c r="P187" s="4">
        <f t="shared" si="33"/>
        <v>-8905026795.194521</v>
      </c>
      <c r="Q187" s="4">
        <f t="shared" si="36"/>
        <v>0</v>
      </c>
      <c r="R187" s="4">
        <f t="shared" si="36"/>
        <v>0</v>
      </c>
      <c r="S187" s="4">
        <f t="shared" si="36"/>
        <v>0</v>
      </c>
      <c r="T187" s="3"/>
      <c r="U187" s="4">
        <f t="shared" si="34"/>
        <v>70000000</v>
      </c>
      <c r="V187">
        <f t="shared" si="35"/>
        <v>596589010693.60425</v>
      </c>
    </row>
    <row r="188" spans="1:22" x14ac:dyDescent="0.5">
      <c r="A188" s="3">
        <v>20</v>
      </c>
      <c r="B188" s="3">
        <v>1</v>
      </c>
      <c r="C188" s="3">
        <v>5</v>
      </c>
      <c r="D188" s="3">
        <v>40</v>
      </c>
      <c r="E188" s="3">
        <v>0.06</v>
      </c>
      <c r="F188" s="3">
        <f t="shared" si="28"/>
        <v>2.8409000509219249</v>
      </c>
      <c r="G188" s="5">
        <v>0.4</v>
      </c>
      <c r="H188" s="4">
        <v>25000000</v>
      </c>
      <c r="I188" s="4">
        <f t="shared" si="41"/>
        <v>25000000</v>
      </c>
      <c r="J188" s="3">
        <v>210000000000</v>
      </c>
      <c r="K188" s="4">
        <f t="shared" si="42"/>
        <v>8.6390302122964155E-2</v>
      </c>
      <c r="L188" s="6">
        <f t="shared" si="29"/>
        <v>3.4556120849185663</v>
      </c>
      <c r="M188" s="4">
        <f t="shared" si="30"/>
        <v>26584298.671857044</v>
      </c>
      <c r="N188" s="4">
        <f t="shared" si="31"/>
        <v>1538615910.4998918</v>
      </c>
      <c r="O188" s="4">
        <f t="shared" si="32"/>
        <v>103079009754.12143</v>
      </c>
      <c r="P188" s="4">
        <f t="shared" si="33"/>
        <v>-8905026795.194521</v>
      </c>
      <c r="Q188" s="4">
        <f t="shared" si="36"/>
        <v>0</v>
      </c>
      <c r="R188" s="4">
        <f t="shared" si="36"/>
        <v>0</v>
      </c>
      <c r="S188" s="4">
        <f t="shared" si="36"/>
        <v>0</v>
      </c>
      <c r="T188" s="3"/>
      <c r="U188" s="4">
        <f t="shared" si="34"/>
        <v>70000000</v>
      </c>
      <c r="V188">
        <f t="shared" si="35"/>
        <v>596589010693.60425</v>
      </c>
    </row>
    <row r="189" spans="1:22" x14ac:dyDescent="0.5">
      <c r="A189" s="3">
        <v>20</v>
      </c>
      <c r="B189" s="3">
        <v>0.99317114799999995</v>
      </c>
      <c r="C189" s="3">
        <v>5</v>
      </c>
      <c r="D189" s="3">
        <v>40</v>
      </c>
      <c r="E189" s="3">
        <v>0.06</v>
      </c>
      <c r="F189" s="3">
        <f t="shared" si="28"/>
        <v>2.8409000509219249</v>
      </c>
      <c r="G189" s="5">
        <v>0.4</v>
      </c>
      <c r="H189" s="4">
        <v>25000000</v>
      </c>
      <c r="I189" s="4">
        <f t="shared" si="41"/>
        <v>24829278.699999999</v>
      </c>
      <c r="J189" s="3">
        <v>210000000000</v>
      </c>
      <c r="K189" s="4">
        <f t="shared" si="42"/>
        <v>8.6390302122964155E-2</v>
      </c>
      <c r="L189" s="6">
        <f t="shared" si="29"/>
        <v>3.4556120849185663</v>
      </c>
      <c r="M189" s="4">
        <f t="shared" si="30"/>
        <v>26387686.153618243</v>
      </c>
      <c r="N189" s="4">
        <f t="shared" si="31"/>
        <v>1527236593.9905601</v>
      </c>
      <c r="O189" s="4">
        <f t="shared" si="32"/>
        <v>102316656609.67776</v>
      </c>
      <c r="P189" s="4">
        <f t="shared" si="33"/>
        <v>-8839166876.7216396</v>
      </c>
      <c r="Q189" s="4">
        <f t="shared" si="36"/>
        <v>11379316.509331703</v>
      </c>
      <c r="R189" s="4">
        <f t="shared" si="36"/>
        <v>762353144.44366455</v>
      </c>
      <c r="S189" s="4">
        <f t="shared" si="36"/>
        <v>-65859918.472881317</v>
      </c>
      <c r="T189" s="3"/>
      <c r="U189" s="4">
        <f t="shared" si="34"/>
        <v>69521980.359999999</v>
      </c>
      <c r="V189">
        <f t="shared" si="35"/>
        <v>596589010693.60425</v>
      </c>
    </row>
    <row r="190" spans="1:22" x14ac:dyDescent="0.5">
      <c r="A190" s="3">
        <v>20</v>
      </c>
      <c r="B190" s="3">
        <v>0.98762270600000002</v>
      </c>
      <c r="C190" s="3">
        <v>5</v>
      </c>
      <c r="D190" s="3">
        <v>40</v>
      </c>
      <c r="E190" s="3">
        <v>0.06</v>
      </c>
      <c r="F190" s="3">
        <f t="shared" si="28"/>
        <v>2.8409000509219249</v>
      </c>
      <c r="G190" s="5">
        <v>0.4</v>
      </c>
      <c r="H190" s="4">
        <v>25000000</v>
      </c>
      <c r="I190" s="4">
        <f t="shared" si="41"/>
        <v>24690567.650000002</v>
      </c>
      <c r="J190" s="3">
        <v>210000000000</v>
      </c>
      <c r="K190" s="4">
        <f t="shared" si="42"/>
        <v>8.6390302122964155E-2</v>
      </c>
      <c r="L190" s="6">
        <f t="shared" si="29"/>
        <v>3.4556120849185663</v>
      </c>
      <c r="M190" s="4">
        <f t="shared" si="30"/>
        <v>26228021.385479767</v>
      </c>
      <c r="N190" s="4">
        <f t="shared" si="31"/>
        <v>1517995697.4885881</v>
      </c>
      <c r="O190" s="4">
        <f t="shared" si="32"/>
        <v>101697566130.91489</v>
      </c>
      <c r="P190" s="4">
        <f t="shared" si="33"/>
        <v>-8785683463.2198639</v>
      </c>
      <c r="Q190" s="4">
        <f t="shared" si="36"/>
        <v>9240896.5019719601</v>
      </c>
      <c r="R190" s="4">
        <f t="shared" si="36"/>
        <v>619090478.76287842</v>
      </c>
      <c r="S190" s="4">
        <f t="shared" si="36"/>
        <v>-53483413.501775742</v>
      </c>
      <c r="T190" s="3"/>
      <c r="U190" s="4">
        <f t="shared" si="34"/>
        <v>69133589.420000002</v>
      </c>
      <c r="V190">
        <f t="shared" si="35"/>
        <v>596589010693.60425</v>
      </c>
    </row>
    <row r="191" spans="1:22" x14ac:dyDescent="0.5">
      <c r="A191" s="3">
        <v>20</v>
      </c>
      <c r="B191" s="3">
        <v>0.97951344433333332</v>
      </c>
      <c r="C191" s="3">
        <v>5</v>
      </c>
      <c r="D191" s="3">
        <v>40</v>
      </c>
      <c r="E191" s="3">
        <v>0.06</v>
      </c>
      <c r="F191" s="3">
        <f t="shared" si="28"/>
        <v>2.8409000509219249</v>
      </c>
      <c r="G191" s="5">
        <v>0.4</v>
      </c>
      <c r="H191" s="4">
        <v>25000000</v>
      </c>
      <c r="I191" s="4">
        <f t="shared" si="41"/>
        <v>24487836.108333334</v>
      </c>
      <c r="J191" s="3">
        <v>210000000000</v>
      </c>
      <c r="K191" s="4">
        <f t="shared" si="42"/>
        <v>8.6390302122964155E-2</v>
      </c>
      <c r="L191" s="6">
        <f t="shared" si="29"/>
        <v>3.4556120849185663</v>
      </c>
      <c r="M191" s="4">
        <f t="shared" si="30"/>
        <v>25994799.714415669</v>
      </c>
      <c r="N191" s="4">
        <f t="shared" si="31"/>
        <v>1504497557.9212477</v>
      </c>
      <c r="O191" s="4">
        <f t="shared" si="32"/>
        <v>100793263211.23927</v>
      </c>
      <c r="P191" s="4">
        <f t="shared" si="33"/>
        <v>-8707560460.77841</v>
      </c>
      <c r="Q191" s="4">
        <f t="shared" si="36"/>
        <v>13498139.567340374</v>
      </c>
      <c r="R191" s="4">
        <f t="shared" si="36"/>
        <v>904302919.6756134</v>
      </c>
      <c r="S191" s="4">
        <f t="shared" si="36"/>
        <v>-78123002.441453934</v>
      </c>
      <c r="T191" s="3"/>
      <c r="U191" s="4">
        <f t="shared" si="34"/>
        <v>68565941.103333339</v>
      </c>
      <c r="V191">
        <f t="shared" si="35"/>
        <v>596589010693.60425</v>
      </c>
    </row>
    <row r="192" spans="1:22" x14ac:dyDescent="0.5">
      <c r="A192" s="3">
        <v>20</v>
      </c>
      <c r="B192" s="3">
        <v>0.96713614999999997</v>
      </c>
      <c r="C192" s="3">
        <v>5</v>
      </c>
      <c r="D192" s="3">
        <v>40</v>
      </c>
      <c r="E192" s="3">
        <v>0.06</v>
      </c>
      <c r="F192" s="3">
        <f t="shared" si="28"/>
        <v>2.8409000509219249</v>
      </c>
      <c r="G192" s="5">
        <v>0.4</v>
      </c>
      <c r="H192" s="4">
        <v>25000000</v>
      </c>
      <c r="I192" s="4">
        <f t="shared" si="41"/>
        <v>24178403.75</v>
      </c>
      <c r="J192" s="3">
        <v>210000000000</v>
      </c>
      <c r="K192" s="4">
        <f t="shared" si="42"/>
        <v>8.6390302122964155E-2</v>
      </c>
      <c r="L192" s="6">
        <f t="shared" si="29"/>
        <v>3.4556120849185663</v>
      </c>
      <c r="M192" s="4">
        <f t="shared" si="30"/>
        <v>25639140.314626183</v>
      </c>
      <c r="N192" s="4">
        <f t="shared" si="31"/>
        <v>1483913106.2496204</v>
      </c>
      <c r="O192" s="4">
        <f t="shared" si="32"/>
        <v>99414215405.894852</v>
      </c>
      <c r="P192" s="4">
        <f t="shared" si="33"/>
        <v>-8588424104.2326946</v>
      </c>
      <c r="Q192" s="4">
        <f t="shared" si="36"/>
        <v>20584451.671627283</v>
      </c>
      <c r="R192" s="4">
        <f t="shared" si="36"/>
        <v>1379047805.3444214</v>
      </c>
      <c r="S192" s="4">
        <f t="shared" si="36"/>
        <v>-119136356.54571533</v>
      </c>
      <c r="T192" s="3"/>
      <c r="U192" s="4">
        <f t="shared" si="34"/>
        <v>67699530.5</v>
      </c>
      <c r="V192">
        <f t="shared" si="35"/>
        <v>596589010693.60425</v>
      </c>
    </row>
    <row r="193" spans="1:22" x14ac:dyDescent="0.5">
      <c r="A193" s="3">
        <v>20</v>
      </c>
      <c r="B193" s="3">
        <v>0.95262483999999992</v>
      </c>
      <c r="C193" s="3">
        <v>5</v>
      </c>
      <c r="D193" s="3">
        <v>40</v>
      </c>
      <c r="E193" s="3">
        <v>0.06</v>
      </c>
      <c r="F193" s="3">
        <f t="shared" si="28"/>
        <v>2.8409000509219249</v>
      </c>
      <c r="G193" s="5">
        <v>0.4</v>
      </c>
      <c r="H193" s="4">
        <v>25000000</v>
      </c>
      <c r="I193" s="4">
        <f t="shared" si="41"/>
        <v>23815620.999999996</v>
      </c>
      <c r="J193" s="3">
        <v>210000000000</v>
      </c>
      <c r="K193" s="4">
        <f t="shared" si="42"/>
        <v>8.6390302122964155E-2</v>
      </c>
      <c r="L193" s="6">
        <f t="shared" si="29"/>
        <v>3.4556120849185663</v>
      </c>
      <c r="M193" s="4">
        <f t="shared" si="30"/>
        <v>25222643.470522065</v>
      </c>
      <c r="N193" s="4">
        <f t="shared" si="31"/>
        <v>1459807573.9231277</v>
      </c>
      <c r="O193" s="4">
        <f t="shared" si="32"/>
        <v>97799274090.876495</v>
      </c>
      <c r="P193" s="4">
        <f t="shared" si="33"/>
        <v>-8448908836.1174021</v>
      </c>
      <c r="Q193" s="4">
        <f t="shared" si="36"/>
        <v>24105532.326492786</v>
      </c>
      <c r="R193" s="4">
        <f t="shared" si="36"/>
        <v>1614941315.0183563</v>
      </c>
      <c r="S193" s="4">
        <f t="shared" si="36"/>
        <v>-139515268.11529255</v>
      </c>
      <c r="T193" s="3"/>
      <c r="U193" s="4">
        <f t="shared" si="34"/>
        <v>66683738.799999982</v>
      </c>
      <c r="V193">
        <f t="shared" si="35"/>
        <v>596589010693.60425</v>
      </c>
    </row>
    <row r="194" spans="1:22" x14ac:dyDescent="0.5">
      <c r="A194" s="3">
        <v>20</v>
      </c>
      <c r="B194" s="3">
        <v>0.93683311999999996</v>
      </c>
      <c r="C194" s="3">
        <v>5</v>
      </c>
      <c r="D194" s="3">
        <v>40</v>
      </c>
      <c r="E194" s="3">
        <v>0.06</v>
      </c>
      <c r="F194" s="3">
        <f t="shared" si="28"/>
        <v>2.8409000509219249</v>
      </c>
      <c r="G194" s="5">
        <v>0.4</v>
      </c>
      <c r="H194" s="4">
        <v>25000000</v>
      </c>
      <c r="I194" s="4">
        <f t="shared" si="41"/>
        <v>23420828</v>
      </c>
      <c r="J194" s="3">
        <v>210000000000</v>
      </c>
      <c r="K194" s="4">
        <f t="shared" si="42"/>
        <v>8.6390302122964155E-2</v>
      </c>
      <c r="L194" s="6">
        <f t="shared" si="29"/>
        <v>3.4556120849185663</v>
      </c>
      <c r="M194" s="4">
        <f t="shared" si="30"/>
        <v>24769997.527335454</v>
      </c>
      <c r="N194" s="4">
        <f t="shared" si="31"/>
        <v>1433609845.0077722</v>
      </c>
      <c r="O194" s="4">
        <f t="shared" si="32"/>
        <v>96044166831.180756</v>
      </c>
      <c r="P194" s="4">
        <f t="shared" si="33"/>
        <v>-8297284589.6940794</v>
      </c>
      <c r="Q194" s="4">
        <f t="shared" si="36"/>
        <v>26197728.915355444</v>
      </c>
      <c r="R194" s="4">
        <f t="shared" si="36"/>
        <v>1755107259.6957397</v>
      </c>
      <c r="S194" s="4">
        <f t="shared" si="36"/>
        <v>-151624246.42332268</v>
      </c>
      <c r="T194" s="3"/>
      <c r="U194" s="4">
        <f t="shared" si="34"/>
        <v>65578318.399999999</v>
      </c>
      <c r="V194">
        <f t="shared" si="35"/>
        <v>596589010693.60425</v>
      </c>
    </row>
    <row r="195" spans="1:22" x14ac:dyDescent="0.5">
      <c r="A195" s="3">
        <v>20</v>
      </c>
      <c r="B195" s="3">
        <v>0.91912078533333341</v>
      </c>
      <c r="C195" s="3">
        <v>5</v>
      </c>
      <c r="D195" s="3">
        <v>40</v>
      </c>
      <c r="E195" s="3">
        <v>0.06</v>
      </c>
      <c r="F195" s="3">
        <f t="shared" ref="F195:F258" si="43">(3.141592*((C195^4)-(C195-(2*E195))^4))/64</f>
        <v>2.8409000509219249</v>
      </c>
      <c r="G195" s="5">
        <v>0.4</v>
      </c>
      <c r="H195" s="4">
        <v>25000000</v>
      </c>
      <c r="I195" s="4">
        <f t="shared" si="41"/>
        <v>22978019.633333337</v>
      </c>
      <c r="J195" s="3">
        <v>210000000000</v>
      </c>
      <c r="K195" s="4">
        <f t="shared" si="42"/>
        <v>8.6390302122964155E-2</v>
      </c>
      <c r="L195" s="6">
        <f t="shared" ref="L195:L258" si="44">K195*D195</f>
        <v>3.4556120849185663</v>
      </c>
      <c r="M195" s="4">
        <f t="shared" ref="M195:M258" si="45">(0.65/C195)*(((2*U195*(1+G195)*C195^4)/(J195*F195))^(1/12))*((2*U195*(1+G195))/(1-G195^2))</f>
        <v>24263056.564370975</v>
      </c>
      <c r="N195" s="4">
        <f t="shared" ref="N195:N258" si="46">IF(L195&gt;=2.5,M195*C195/K195,M195*C195*D195)</f>
        <v>1404269690.4703498</v>
      </c>
      <c r="O195" s="4">
        <f t="shared" ref="O195:O258" si="47">IF(L195&gt;=2.5,M195*C195/(2*K195^3),M195*C195*(D195^3)/3)</f>
        <v>94078533917.136734</v>
      </c>
      <c r="P195" s="4">
        <f t="shared" ref="P195:P258" si="48">IF(L195&gt;=2.5,-(M195*C195/(2*K195^2)),-(M195*C195*(D195^2)/2))</f>
        <v>-8127472968.3869734</v>
      </c>
      <c r="Q195" s="4">
        <f t="shared" si="36"/>
        <v>29340154.537422419</v>
      </c>
      <c r="R195" s="4">
        <f t="shared" si="36"/>
        <v>1965632914.0440216</v>
      </c>
      <c r="S195" s="4">
        <f t="shared" si="36"/>
        <v>-169811621.30710602</v>
      </c>
      <c r="T195" s="3"/>
      <c r="U195" s="4">
        <f t="shared" ref="U195:U258" si="49">2*I195*(G195+1)</f>
        <v>64338454.973333336</v>
      </c>
      <c r="V195">
        <f t="shared" ref="V195:V258" si="50">J195*F195</f>
        <v>596589010693.60425</v>
      </c>
    </row>
    <row r="196" spans="1:22" x14ac:dyDescent="0.5">
      <c r="A196" s="3">
        <v>20</v>
      </c>
      <c r="B196" s="3">
        <v>0.89863422966666662</v>
      </c>
      <c r="C196" s="3">
        <v>5</v>
      </c>
      <c r="D196" s="3">
        <v>40</v>
      </c>
      <c r="E196" s="3">
        <v>0.06</v>
      </c>
      <c r="F196" s="3">
        <f t="shared" si="43"/>
        <v>2.8409000509219249</v>
      </c>
      <c r="G196" s="5">
        <v>0.4</v>
      </c>
      <c r="H196" s="4">
        <v>25000000</v>
      </c>
      <c r="I196" s="4">
        <f t="shared" si="41"/>
        <v>22465855.741666667</v>
      </c>
      <c r="J196" s="3">
        <v>210000000000</v>
      </c>
      <c r="K196" s="4">
        <f t="shared" si="42"/>
        <v>8.6390302122964155E-2</v>
      </c>
      <c r="L196" s="6">
        <f t="shared" si="44"/>
        <v>3.4556120849185663</v>
      </c>
      <c r="M196" s="4">
        <f t="shared" si="45"/>
        <v>23677730.757360578</v>
      </c>
      <c r="N196" s="4">
        <f t="shared" si="46"/>
        <v>1370392866.7629116</v>
      </c>
      <c r="O196" s="4">
        <f t="shared" si="47"/>
        <v>91808968512.575729</v>
      </c>
      <c r="P196" s="4">
        <f t="shared" si="48"/>
        <v>-7931404527.3991203</v>
      </c>
      <c r="Q196" s="4">
        <f t="shared" ref="Q196:S259" si="51">N195-N196</f>
        <v>33876823.707438231</v>
      </c>
      <c r="R196" s="4">
        <f t="shared" si="51"/>
        <v>2269565404.5610046</v>
      </c>
      <c r="S196" s="4">
        <f t="shared" si="51"/>
        <v>-196068440.98785305</v>
      </c>
      <c r="T196" s="3"/>
      <c r="U196" s="4">
        <f t="shared" si="49"/>
        <v>62904396.076666661</v>
      </c>
      <c r="V196">
        <f t="shared" si="50"/>
        <v>596589010693.60425</v>
      </c>
    </row>
    <row r="197" spans="1:22" x14ac:dyDescent="0.5">
      <c r="A197" s="3">
        <v>20</v>
      </c>
      <c r="B197" s="3">
        <v>0.87686726399999992</v>
      </c>
      <c r="C197" s="3">
        <v>5</v>
      </c>
      <c r="D197" s="3">
        <v>40</v>
      </c>
      <c r="E197" s="3">
        <v>0.06</v>
      </c>
      <c r="F197" s="3">
        <f t="shared" si="43"/>
        <v>2.8409000509219249</v>
      </c>
      <c r="G197" s="5">
        <v>0.4</v>
      </c>
      <c r="H197" s="4">
        <v>25000000</v>
      </c>
      <c r="I197" s="4">
        <f t="shared" si="41"/>
        <v>21921681.599999998</v>
      </c>
      <c r="J197" s="3">
        <v>210000000000</v>
      </c>
      <c r="K197" s="4">
        <f t="shared" si="42"/>
        <v>8.6390302122964155E-2</v>
      </c>
      <c r="L197" s="6">
        <f t="shared" si="44"/>
        <v>3.4556120849185663</v>
      </c>
      <c r="M197" s="4">
        <f t="shared" si="45"/>
        <v>23057039.975538664</v>
      </c>
      <c r="N197" s="4">
        <f t="shared" si="46"/>
        <v>1334469229.1225171</v>
      </c>
      <c r="O197" s="4">
        <f t="shared" si="47"/>
        <v>89402277557.758636</v>
      </c>
      <c r="P197" s="4">
        <f t="shared" si="48"/>
        <v>-7723489768.6958675</v>
      </c>
      <c r="Q197" s="4">
        <f t="shared" si="51"/>
        <v>35923637.640394449</v>
      </c>
      <c r="R197" s="4">
        <f t="shared" si="51"/>
        <v>2406690954.8170929</v>
      </c>
      <c r="S197" s="4">
        <f t="shared" si="51"/>
        <v>-207914758.70325279</v>
      </c>
      <c r="T197" s="3"/>
      <c r="U197" s="4">
        <f t="shared" si="49"/>
        <v>61380708.479999989</v>
      </c>
      <c r="V197">
        <f t="shared" si="50"/>
        <v>596589010693.60425</v>
      </c>
    </row>
    <row r="198" spans="1:22" x14ac:dyDescent="0.5">
      <c r="A198" s="3">
        <v>20</v>
      </c>
      <c r="B198" s="3">
        <v>0.85040546266666661</v>
      </c>
      <c r="C198" s="3">
        <v>5</v>
      </c>
      <c r="D198" s="3">
        <v>40</v>
      </c>
      <c r="E198" s="3">
        <v>0.06</v>
      </c>
      <c r="F198" s="3">
        <f t="shared" si="43"/>
        <v>2.8409000509219249</v>
      </c>
      <c r="G198" s="5">
        <v>0.4</v>
      </c>
      <c r="H198" s="4">
        <v>25000000</v>
      </c>
      <c r="I198" s="4">
        <f t="shared" si="41"/>
        <v>21260136.566666666</v>
      </c>
      <c r="J198" s="3">
        <v>210000000000</v>
      </c>
      <c r="K198" s="4">
        <f t="shared" si="42"/>
        <v>8.6390302122964155E-2</v>
      </c>
      <c r="L198" s="6">
        <f t="shared" si="44"/>
        <v>3.4556120849185663</v>
      </c>
      <c r="M198" s="4">
        <f t="shared" si="45"/>
        <v>22304205.214295544</v>
      </c>
      <c r="N198" s="4">
        <f t="shared" si="46"/>
        <v>1290897512.0001733</v>
      </c>
      <c r="O198" s="4">
        <f t="shared" si="47"/>
        <v>86483206317.426361</v>
      </c>
      <c r="P198" s="4">
        <f t="shared" si="48"/>
        <v>-7471310322.3251066</v>
      </c>
      <c r="Q198" s="4">
        <f t="shared" si="51"/>
        <v>43571717.122343779</v>
      </c>
      <c r="R198" s="4">
        <f t="shared" si="51"/>
        <v>2919071240.3322754</v>
      </c>
      <c r="S198" s="4">
        <f t="shared" si="51"/>
        <v>-252179446.37076092</v>
      </c>
      <c r="T198" s="3"/>
      <c r="U198" s="4">
        <f t="shared" si="49"/>
        <v>59528382.386666663</v>
      </c>
      <c r="V198">
        <f t="shared" si="50"/>
        <v>596589010693.60425</v>
      </c>
    </row>
    <row r="199" spans="1:22" x14ac:dyDescent="0.5">
      <c r="A199" s="3">
        <v>20</v>
      </c>
      <c r="B199" s="3">
        <v>0.81967562933333327</v>
      </c>
      <c r="C199" s="3">
        <v>5</v>
      </c>
      <c r="D199" s="3">
        <v>40</v>
      </c>
      <c r="E199" s="3">
        <v>0.06</v>
      </c>
      <c r="F199" s="3">
        <f t="shared" si="43"/>
        <v>2.8409000509219249</v>
      </c>
      <c r="G199" s="5">
        <v>0.4</v>
      </c>
      <c r="H199" s="4">
        <v>25000000</v>
      </c>
      <c r="I199" s="4">
        <f t="shared" si="41"/>
        <v>20491890.733333331</v>
      </c>
      <c r="J199" s="3">
        <v>210000000000</v>
      </c>
      <c r="K199" s="4">
        <f t="shared" si="42"/>
        <v>8.6390302122964155E-2</v>
      </c>
      <c r="L199" s="6">
        <f t="shared" si="44"/>
        <v>3.4556120849185663</v>
      </c>
      <c r="M199" s="4">
        <f t="shared" si="45"/>
        <v>21432396.35753959</v>
      </c>
      <c r="N199" s="4">
        <f t="shared" si="46"/>
        <v>1240439947.0112779</v>
      </c>
      <c r="O199" s="4">
        <f t="shared" si="47"/>
        <v>83102820219.657669</v>
      </c>
      <c r="P199" s="4">
        <f t="shared" si="48"/>
        <v>-7179277746.0466013</v>
      </c>
      <c r="Q199" s="4">
        <f t="shared" si="51"/>
        <v>50457564.988895416</v>
      </c>
      <c r="R199" s="4">
        <f t="shared" si="51"/>
        <v>3380386097.768692</v>
      </c>
      <c r="S199" s="4">
        <f t="shared" si="51"/>
        <v>-292032576.27850533</v>
      </c>
      <c r="T199" s="3"/>
      <c r="U199" s="4">
        <f t="shared" si="49"/>
        <v>57377294.05333332</v>
      </c>
      <c r="V199">
        <f t="shared" si="50"/>
        <v>596589010693.60425</v>
      </c>
    </row>
    <row r="200" spans="1:22" x14ac:dyDescent="0.5">
      <c r="A200" s="3">
        <v>20</v>
      </c>
      <c r="B200" s="3">
        <v>0.78873239433333331</v>
      </c>
      <c r="C200" s="3">
        <v>5</v>
      </c>
      <c r="D200" s="3">
        <v>40</v>
      </c>
      <c r="E200" s="3">
        <v>0.06</v>
      </c>
      <c r="F200" s="3">
        <f t="shared" si="43"/>
        <v>2.8409000509219249</v>
      </c>
      <c r="G200" s="5">
        <v>0.4</v>
      </c>
      <c r="H200" s="4">
        <v>25000000</v>
      </c>
      <c r="I200" s="4">
        <f t="shared" si="41"/>
        <v>19718309.858333334</v>
      </c>
      <c r="J200" s="3">
        <v>210000000000</v>
      </c>
      <c r="K200" s="4">
        <f t="shared" si="42"/>
        <v>8.6390302122964155E-2</v>
      </c>
      <c r="L200" s="6">
        <f t="shared" si="44"/>
        <v>3.4556120849185663</v>
      </c>
      <c r="M200" s="4">
        <f t="shared" si="45"/>
        <v>20557281.946506653</v>
      </c>
      <c r="N200" s="4">
        <f t="shared" si="46"/>
        <v>1189791066.8981295</v>
      </c>
      <c r="O200" s="4">
        <f t="shared" si="47"/>
        <v>79709617035.165497</v>
      </c>
      <c r="P200" s="4">
        <f t="shared" si="48"/>
        <v>-6886137897.7737179</v>
      </c>
      <c r="Q200" s="4">
        <f t="shared" si="51"/>
        <v>50648880.113148451</v>
      </c>
      <c r="R200" s="4">
        <f t="shared" si="51"/>
        <v>3393203184.4921722</v>
      </c>
      <c r="S200" s="4">
        <f t="shared" si="51"/>
        <v>-293139848.27288342</v>
      </c>
      <c r="T200" s="3"/>
      <c r="U200" s="4">
        <f t="shared" si="49"/>
        <v>55211267.603333332</v>
      </c>
      <c r="V200">
        <f t="shared" si="50"/>
        <v>596589010693.60425</v>
      </c>
    </row>
    <row r="201" spans="1:22" x14ac:dyDescent="0.5">
      <c r="A201" s="3">
        <v>20</v>
      </c>
      <c r="B201" s="3">
        <v>0.7577891596666666</v>
      </c>
      <c r="C201" s="3">
        <v>5</v>
      </c>
      <c r="D201" s="3">
        <v>40</v>
      </c>
      <c r="E201" s="3">
        <v>0.06</v>
      </c>
      <c r="F201" s="3">
        <f t="shared" si="43"/>
        <v>2.8409000509219249</v>
      </c>
      <c r="G201" s="5">
        <v>0.4</v>
      </c>
      <c r="H201" s="4">
        <v>25000000</v>
      </c>
      <c r="I201" s="4">
        <f t="shared" si="41"/>
        <v>18944728.991666663</v>
      </c>
      <c r="J201" s="3">
        <v>210000000000</v>
      </c>
      <c r="K201" s="4">
        <f t="shared" si="42"/>
        <v>8.6390302122964155E-2</v>
      </c>
      <c r="L201" s="6">
        <f t="shared" si="44"/>
        <v>3.4556120849185663</v>
      </c>
      <c r="M201" s="4">
        <f t="shared" si="45"/>
        <v>19685024.586295817</v>
      </c>
      <c r="N201" s="4">
        <f t="shared" si="46"/>
        <v>1139307543.9345622</v>
      </c>
      <c r="O201" s="4">
        <f t="shared" si="47"/>
        <v>76327491892.384888</v>
      </c>
      <c r="P201" s="4">
        <f t="shared" si="48"/>
        <v>-6593955084.8712273</v>
      </c>
      <c r="Q201" s="4">
        <f t="shared" si="51"/>
        <v>50483522.963567257</v>
      </c>
      <c r="R201" s="4">
        <f t="shared" si="51"/>
        <v>3382125142.7806091</v>
      </c>
      <c r="S201" s="4">
        <f t="shared" si="51"/>
        <v>-292182812.90249062</v>
      </c>
      <c r="T201" s="3"/>
      <c r="U201" s="4">
        <f t="shared" si="49"/>
        <v>53045241.176666655</v>
      </c>
      <c r="V201">
        <f t="shared" si="50"/>
        <v>596589010693.60425</v>
      </c>
    </row>
    <row r="202" spans="1:22" x14ac:dyDescent="0.5">
      <c r="A202" s="3">
        <v>20</v>
      </c>
      <c r="B202" s="3">
        <v>0.72257789133333328</v>
      </c>
      <c r="C202" s="3">
        <v>5</v>
      </c>
      <c r="D202" s="3">
        <v>40</v>
      </c>
      <c r="E202" s="3">
        <v>0.06</v>
      </c>
      <c r="F202" s="3">
        <f t="shared" si="43"/>
        <v>2.8409000509219249</v>
      </c>
      <c r="G202" s="5">
        <v>0.4</v>
      </c>
      <c r="H202" s="4">
        <v>25000000</v>
      </c>
      <c r="I202" s="4">
        <f t="shared" si="41"/>
        <v>18064447.283333331</v>
      </c>
      <c r="J202" s="3">
        <v>210000000000</v>
      </c>
      <c r="K202" s="4">
        <f t="shared" si="42"/>
        <v>8.6390302122964155E-2</v>
      </c>
      <c r="L202" s="6">
        <f t="shared" si="44"/>
        <v>3.4556120849185663</v>
      </c>
      <c r="M202" s="4">
        <f t="shared" si="45"/>
        <v>18696067.442492474</v>
      </c>
      <c r="N202" s="4">
        <f t="shared" si="46"/>
        <v>1082069803.1522863</v>
      </c>
      <c r="O202" s="4">
        <f t="shared" si="47"/>
        <v>72492870399.043381</v>
      </c>
      <c r="P202" s="4">
        <f t="shared" si="48"/>
        <v>-6262680975.5342436</v>
      </c>
      <c r="Q202" s="4">
        <f t="shared" si="51"/>
        <v>57237740.782275915</v>
      </c>
      <c r="R202" s="4">
        <f t="shared" si="51"/>
        <v>3834621493.341507</v>
      </c>
      <c r="S202" s="4">
        <f t="shared" si="51"/>
        <v>-331274109.33698368</v>
      </c>
      <c r="T202" s="3"/>
      <c r="U202" s="4">
        <f t="shared" si="49"/>
        <v>50580452.393333323</v>
      </c>
      <c r="V202">
        <f t="shared" si="50"/>
        <v>596589010693.60425</v>
      </c>
    </row>
    <row r="203" spans="1:22" x14ac:dyDescent="0.5">
      <c r="A203" s="3">
        <v>20</v>
      </c>
      <c r="B203" s="3">
        <v>0.68288519000000003</v>
      </c>
      <c r="C203" s="3">
        <v>5</v>
      </c>
      <c r="D203" s="3">
        <v>40</v>
      </c>
      <c r="E203" s="3">
        <v>0.06</v>
      </c>
      <c r="F203" s="3">
        <f t="shared" si="43"/>
        <v>2.8409000509219249</v>
      </c>
      <c r="G203" s="5">
        <v>0.4</v>
      </c>
      <c r="H203" s="4">
        <v>25000000</v>
      </c>
      <c r="I203" s="4">
        <f t="shared" si="41"/>
        <v>17072129.75</v>
      </c>
      <c r="J203" s="3">
        <v>210000000000</v>
      </c>
      <c r="K203" s="4">
        <f t="shared" si="42"/>
        <v>8.6390302122964155E-2</v>
      </c>
      <c r="L203" s="6">
        <f t="shared" si="44"/>
        <v>3.4556120849185663</v>
      </c>
      <c r="M203" s="4">
        <f t="shared" si="45"/>
        <v>17586059.687585015</v>
      </c>
      <c r="N203" s="4">
        <f t="shared" si="46"/>
        <v>1017826032.2873851</v>
      </c>
      <c r="O203" s="4">
        <f t="shared" si="47"/>
        <v>68188882484.689133</v>
      </c>
      <c r="P203" s="4">
        <f t="shared" si="48"/>
        <v>-5890858159.2795935</v>
      </c>
      <c r="Q203" s="4">
        <f t="shared" si="51"/>
        <v>64243770.864901185</v>
      </c>
      <c r="R203" s="4">
        <f t="shared" si="51"/>
        <v>4303987914.354248</v>
      </c>
      <c r="S203" s="4">
        <f t="shared" si="51"/>
        <v>-371822816.25465012</v>
      </c>
      <c r="T203" s="3"/>
      <c r="U203" s="4">
        <f t="shared" si="49"/>
        <v>47801963.299999997</v>
      </c>
      <c r="V203">
        <f t="shared" si="50"/>
        <v>596589010693.60425</v>
      </c>
    </row>
    <row r="204" spans="1:22" x14ac:dyDescent="0.5">
      <c r="A204" s="3">
        <v>20</v>
      </c>
      <c r="B204" s="3">
        <v>0.64105847199999999</v>
      </c>
      <c r="C204" s="3">
        <v>5</v>
      </c>
      <c r="D204" s="3">
        <v>40</v>
      </c>
      <c r="E204" s="3">
        <v>0.06</v>
      </c>
      <c r="F204" s="3">
        <f t="shared" si="43"/>
        <v>2.8409000509219249</v>
      </c>
      <c r="G204" s="5">
        <v>0.4</v>
      </c>
      <c r="H204" s="4">
        <v>25000000</v>
      </c>
      <c r="I204" s="4">
        <f t="shared" si="41"/>
        <v>16026461.799999999</v>
      </c>
      <c r="J204" s="3">
        <v>210000000000</v>
      </c>
      <c r="K204" s="4">
        <f t="shared" si="42"/>
        <v>8.6390302122964155E-2</v>
      </c>
      <c r="L204" s="6">
        <f t="shared" si="44"/>
        <v>3.4556120849185663</v>
      </c>
      <c r="M204" s="4">
        <f t="shared" si="45"/>
        <v>16422186.827890508</v>
      </c>
      <c r="N204" s="4">
        <f t="shared" si="46"/>
        <v>950464717.93303204</v>
      </c>
      <c r="O204" s="4">
        <f t="shared" si="47"/>
        <v>63676035885.353722</v>
      </c>
      <c r="P204" s="4">
        <f t="shared" si="48"/>
        <v>-5500991978.1284151</v>
      </c>
      <c r="Q204" s="4">
        <f t="shared" si="51"/>
        <v>67361314.35435307</v>
      </c>
      <c r="R204" s="4">
        <f t="shared" si="51"/>
        <v>4512846599.3354111</v>
      </c>
      <c r="S204" s="4">
        <f t="shared" si="51"/>
        <v>-389866181.15117836</v>
      </c>
      <c r="T204" s="3"/>
      <c r="U204" s="4">
        <f t="shared" si="49"/>
        <v>44874093.039999992</v>
      </c>
      <c r="V204">
        <f t="shared" si="50"/>
        <v>596589010693.60425</v>
      </c>
    </row>
    <row r="205" spans="1:22" x14ac:dyDescent="0.5">
      <c r="A205" s="3">
        <v>20</v>
      </c>
      <c r="B205" s="3">
        <v>0.59432351666666672</v>
      </c>
      <c r="C205" s="3">
        <v>5</v>
      </c>
      <c r="D205" s="3">
        <v>40</v>
      </c>
      <c r="E205" s="3">
        <v>0.06</v>
      </c>
      <c r="F205" s="3">
        <f t="shared" si="43"/>
        <v>2.8409000509219249</v>
      </c>
      <c r="G205" s="5">
        <v>0.4</v>
      </c>
      <c r="H205" s="4">
        <v>25000000</v>
      </c>
      <c r="I205" s="4">
        <f t="shared" si="41"/>
        <v>14858087.916666668</v>
      </c>
      <c r="J205" s="3">
        <v>210000000000</v>
      </c>
      <c r="K205" s="4">
        <f t="shared" si="42"/>
        <v>8.6390302122964155E-2</v>
      </c>
      <c r="L205" s="6">
        <f t="shared" si="44"/>
        <v>3.4556120849185663</v>
      </c>
      <c r="M205" s="4">
        <f t="shared" si="45"/>
        <v>15129225.599798629</v>
      </c>
      <c r="N205" s="4">
        <f t="shared" si="46"/>
        <v>875632173.288638</v>
      </c>
      <c r="O205" s="4">
        <f t="shared" si="47"/>
        <v>58662656947.384026</v>
      </c>
      <c r="P205" s="4">
        <f t="shared" si="48"/>
        <v>-5067884657.0203085</v>
      </c>
      <c r="Q205" s="4">
        <f t="shared" si="51"/>
        <v>74832544.64439404</v>
      </c>
      <c r="R205" s="4">
        <f t="shared" si="51"/>
        <v>5013378937.969696</v>
      </c>
      <c r="S205" s="4">
        <f t="shared" si="51"/>
        <v>-433107321.10810661</v>
      </c>
      <c r="T205" s="3"/>
      <c r="U205" s="4">
        <f t="shared" si="49"/>
        <v>41602646.166666664</v>
      </c>
      <c r="V205">
        <f t="shared" si="50"/>
        <v>596589010693.60425</v>
      </c>
    </row>
    <row r="206" spans="1:22" x14ac:dyDescent="0.5">
      <c r="A206" s="3">
        <v>20</v>
      </c>
      <c r="B206" s="3">
        <v>0.54865556966666662</v>
      </c>
      <c r="C206" s="3">
        <v>5</v>
      </c>
      <c r="D206" s="3">
        <v>40</v>
      </c>
      <c r="E206" s="3">
        <v>0.06</v>
      </c>
      <c r="F206" s="3">
        <f t="shared" si="43"/>
        <v>2.8409000509219249</v>
      </c>
      <c r="G206" s="5">
        <v>0.4</v>
      </c>
      <c r="H206" s="4">
        <v>25000000</v>
      </c>
      <c r="I206" s="4">
        <f t="shared" si="41"/>
        <v>13716389.241666665</v>
      </c>
      <c r="J206" s="3">
        <v>210000000000</v>
      </c>
      <c r="K206" s="4">
        <f t="shared" si="42"/>
        <v>8.6390302122964155E-2</v>
      </c>
      <c r="L206" s="6">
        <f t="shared" si="44"/>
        <v>3.4556120849185663</v>
      </c>
      <c r="M206" s="4">
        <f t="shared" si="45"/>
        <v>13873945.44803264</v>
      </c>
      <c r="N206" s="4">
        <f t="shared" si="46"/>
        <v>802980491.27580762</v>
      </c>
      <c r="O206" s="4">
        <f t="shared" si="47"/>
        <v>53795384103.168633</v>
      </c>
      <c r="P206" s="4">
        <f t="shared" si="48"/>
        <v>-4647399485.4936409</v>
      </c>
      <c r="Q206" s="4">
        <f t="shared" si="51"/>
        <v>72651682.012830377</v>
      </c>
      <c r="R206" s="4">
        <f t="shared" si="51"/>
        <v>4867272844.2153931</v>
      </c>
      <c r="S206" s="4">
        <f t="shared" si="51"/>
        <v>-420485171.52666759</v>
      </c>
      <c r="T206" s="3"/>
      <c r="U206" s="4">
        <f t="shared" si="49"/>
        <v>38405889.876666658</v>
      </c>
      <c r="V206">
        <f t="shared" si="50"/>
        <v>596589010693.60425</v>
      </c>
    </row>
    <row r="207" spans="1:22" x14ac:dyDescent="0.5">
      <c r="A207" s="3">
        <v>20</v>
      </c>
      <c r="B207" s="3">
        <v>0.50085360666666667</v>
      </c>
      <c r="C207" s="3">
        <v>5</v>
      </c>
      <c r="D207" s="3">
        <v>40</v>
      </c>
      <c r="E207" s="3">
        <v>0.06</v>
      </c>
      <c r="F207" s="3">
        <f t="shared" si="43"/>
        <v>2.8409000509219249</v>
      </c>
      <c r="G207" s="5">
        <v>0.4</v>
      </c>
      <c r="H207" s="4">
        <v>25000000</v>
      </c>
      <c r="I207" s="4">
        <f t="shared" si="41"/>
        <v>12521340.166666666</v>
      </c>
      <c r="J207" s="3">
        <v>210000000000</v>
      </c>
      <c r="K207" s="4">
        <f t="shared" si="42"/>
        <v>8.6390302122964155E-2</v>
      </c>
      <c r="L207" s="6">
        <f t="shared" si="44"/>
        <v>3.4556120849185663</v>
      </c>
      <c r="M207" s="4">
        <f t="shared" si="45"/>
        <v>12569323.777076656</v>
      </c>
      <c r="N207" s="4">
        <f t="shared" si="46"/>
        <v>727473076.73412418</v>
      </c>
      <c r="O207" s="4">
        <f t="shared" si="47"/>
        <v>48736792503.44838</v>
      </c>
      <c r="P207" s="4">
        <f t="shared" si="48"/>
        <v>-4210386228.87712</v>
      </c>
      <c r="Q207" s="4">
        <f t="shared" si="51"/>
        <v>75507414.541683435</v>
      </c>
      <c r="R207" s="4">
        <f t="shared" si="51"/>
        <v>5058591599.720253</v>
      </c>
      <c r="S207" s="4">
        <f t="shared" si="51"/>
        <v>-437013256.61652088</v>
      </c>
      <c r="T207" s="3"/>
      <c r="U207" s="4">
        <f t="shared" si="49"/>
        <v>35059752.466666661</v>
      </c>
      <c r="V207">
        <f t="shared" si="50"/>
        <v>596589010693.60425</v>
      </c>
    </row>
    <row r="208" spans="1:22" x14ac:dyDescent="0.5">
      <c r="A208" s="3">
        <v>20</v>
      </c>
      <c r="B208" s="3">
        <v>0.45753307733333332</v>
      </c>
      <c r="C208" s="3">
        <v>5</v>
      </c>
      <c r="D208" s="3">
        <v>40</v>
      </c>
      <c r="E208" s="3">
        <v>0.06</v>
      </c>
      <c r="F208" s="3">
        <f t="shared" si="43"/>
        <v>2.8409000509219249</v>
      </c>
      <c r="G208" s="5">
        <v>0.4</v>
      </c>
      <c r="H208" s="4">
        <v>25000000</v>
      </c>
      <c r="I208" s="4">
        <f t="shared" si="41"/>
        <v>11438326.933333334</v>
      </c>
      <c r="J208" s="3">
        <v>210000000000</v>
      </c>
      <c r="K208" s="4">
        <f t="shared" si="42"/>
        <v>8.6390302122964155E-2</v>
      </c>
      <c r="L208" s="6">
        <f t="shared" si="44"/>
        <v>3.4556120849185663</v>
      </c>
      <c r="M208" s="4">
        <f t="shared" si="45"/>
        <v>11395924.915277321</v>
      </c>
      <c r="N208" s="4">
        <f t="shared" si="46"/>
        <v>659560427.2257818</v>
      </c>
      <c r="O208" s="4">
        <f t="shared" si="47"/>
        <v>44187009407.273155</v>
      </c>
      <c r="P208" s="4">
        <f t="shared" si="48"/>
        <v>-3817329092.6045871</v>
      </c>
      <c r="Q208" s="4">
        <f t="shared" si="51"/>
        <v>67912649.508342385</v>
      </c>
      <c r="R208" s="4">
        <f t="shared" si="51"/>
        <v>4549783096.1752243</v>
      </c>
      <c r="S208" s="4">
        <f t="shared" si="51"/>
        <v>-393057136.27253294</v>
      </c>
      <c r="T208" s="3"/>
      <c r="U208" s="4">
        <f t="shared" si="49"/>
        <v>32027315.41333333</v>
      </c>
      <c r="V208">
        <f t="shared" si="50"/>
        <v>596589010693.60425</v>
      </c>
    </row>
    <row r="209" spans="1:22" x14ac:dyDescent="0.5">
      <c r="A209" s="3">
        <v>20</v>
      </c>
      <c r="B209" s="3">
        <v>0.41165172866666666</v>
      </c>
      <c r="C209" s="3">
        <v>5</v>
      </c>
      <c r="D209" s="3">
        <v>40</v>
      </c>
      <c r="E209" s="3">
        <v>0.06</v>
      </c>
      <c r="F209" s="3">
        <f t="shared" si="43"/>
        <v>2.8409000509219249</v>
      </c>
      <c r="G209" s="5">
        <v>0.4</v>
      </c>
      <c r="H209" s="4">
        <v>25000000</v>
      </c>
      <c r="I209" s="4">
        <f t="shared" si="41"/>
        <v>10291293.216666667</v>
      </c>
      <c r="J209" s="3">
        <v>210000000000</v>
      </c>
      <c r="K209" s="4">
        <f t="shared" si="42"/>
        <v>8.6390302122964155E-2</v>
      </c>
      <c r="L209" s="6">
        <f t="shared" si="44"/>
        <v>3.4556120849185663</v>
      </c>
      <c r="M209" s="4">
        <f t="shared" si="45"/>
        <v>10163250.881630024</v>
      </c>
      <c r="N209" s="4">
        <f t="shared" si="46"/>
        <v>588217116.49787378</v>
      </c>
      <c r="O209" s="4">
        <f t="shared" si="47"/>
        <v>39407390418.396294</v>
      </c>
      <c r="P209" s="4">
        <f t="shared" si="48"/>
        <v>-3404416364.1228585</v>
      </c>
      <c r="Q209" s="4">
        <f t="shared" si="51"/>
        <v>71343310.727908015</v>
      </c>
      <c r="R209" s="4">
        <f t="shared" si="51"/>
        <v>4779618988.8768616</v>
      </c>
      <c r="S209" s="4">
        <f t="shared" si="51"/>
        <v>-412912728.48172855</v>
      </c>
      <c r="T209" s="3"/>
      <c r="U209" s="4">
        <f t="shared" si="49"/>
        <v>28815621.006666664</v>
      </c>
      <c r="V209">
        <f t="shared" si="50"/>
        <v>596589010693.60425</v>
      </c>
    </row>
    <row r="210" spans="1:22" x14ac:dyDescent="0.5">
      <c r="A210" s="3">
        <v>20</v>
      </c>
      <c r="B210" s="3">
        <v>0.36918480599999998</v>
      </c>
      <c r="C210" s="3">
        <v>5</v>
      </c>
      <c r="D210" s="3">
        <v>40</v>
      </c>
      <c r="E210" s="3">
        <v>0.06</v>
      </c>
      <c r="F210" s="3">
        <f t="shared" si="43"/>
        <v>2.8409000509219249</v>
      </c>
      <c r="G210" s="5">
        <v>0.4</v>
      </c>
      <c r="H210" s="4">
        <v>25000000</v>
      </c>
      <c r="I210" s="4">
        <f t="shared" si="41"/>
        <v>9229620.1499999985</v>
      </c>
      <c r="J210" s="3">
        <v>210000000000</v>
      </c>
      <c r="K210" s="4">
        <f t="shared" si="42"/>
        <v>8.6390302122964155E-2</v>
      </c>
      <c r="L210" s="6">
        <f t="shared" si="44"/>
        <v>3.4556120849185663</v>
      </c>
      <c r="M210" s="4">
        <f t="shared" si="45"/>
        <v>9032459.2635688912</v>
      </c>
      <c r="N210" s="4">
        <f t="shared" si="46"/>
        <v>522770440.75575095</v>
      </c>
      <c r="O210" s="4">
        <f t="shared" si="47"/>
        <v>35022814332.084213</v>
      </c>
      <c r="P210" s="4">
        <f t="shared" si="48"/>
        <v>-3025631511.3452349</v>
      </c>
      <c r="Q210" s="4">
        <f t="shared" si="51"/>
        <v>65446675.742122829</v>
      </c>
      <c r="R210" s="4">
        <f t="shared" si="51"/>
        <v>4384576086.3120804</v>
      </c>
      <c r="S210" s="4">
        <f t="shared" si="51"/>
        <v>-378784852.77762365</v>
      </c>
      <c r="T210" s="3"/>
      <c r="U210" s="4">
        <f t="shared" si="49"/>
        <v>25842936.419999994</v>
      </c>
      <c r="V210">
        <f t="shared" si="50"/>
        <v>596589010693.60425</v>
      </c>
    </row>
    <row r="211" spans="1:22" x14ac:dyDescent="0.5">
      <c r="A211" s="3">
        <v>20</v>
      </c>
      <c r="B211" s="3">
        <v>0.32949210433333337</v>
      </c>
      <c r="C211" s="3">
        <v>5</v>
      </c>
      <c r="D211" s="3">
        <v>40</v>
      </c>
      <c r="E211" s="3">
        <v>0.06</v>
      </c>
      <c r="F211" s="3">
        <f t="shared" si="43"/>
        <v>2.8409000509219249</v>
      </c>
      <c r="G211" s="5">
        <v>0.4</v>
      </c>
      <c r="H211" s="4">
        <v>25000000</v>
      </c>
      <c r="I211" s="4">
        <f t="shared" si="41"/>
        <v>8237302.6083333343</v>
      </c>
      <c r="J211" s="3">
        <v>210000000000</v>
      </c>
      <c r="K211" s="4">
        <f t="shared" si="42"/>
        <v>8.6390302122964155E-2</v>
      </c>
      <c r="L211" s="6">
        <f t="shared" si="44"/>
        <v>3.4556120849185663</v>
      </c>
      <c r="M211" s="4">
        <f t="shared" si="45"/>
        <v>7985288.97538797</v>
      </c>
      <c r="N211" s="4">
        <f t="shared" si="46"/>
        <v>462163505.57624286</v>
      </c>
      <c r="O211" s="4">
        <f t="shared" si="47"/>
        <v>30962474893.304989</v>
      </c>
      <c r="P211" s="4">
        <f t="shared" si="48"/>
        <v>-2674857560.5073104</v>
      </c>
      <c r="Q211" s="4">
        <f t="shared" si="51"/>
        <v>60606935.17950809</v>
      </c>
      <c r="R211" s="4">
        <f t="shared" si="51"/>
        <v>4060339438.7792244</v>
      </c>
      <c r="S211" s="4">
        <f t="shared" si="51"/>
        <v>-350773950.83792448</v>
      </c>
      <c r="T211" s="3"/>
      <c r="U211" s="4">
        <f t="shared" si="49"/>
        <v>23064447.303333335</v>
      </c>
      <c r="V211">
        <f t="shared" si="50"/>
        <v>596589010693.60425</v>
      </c>
    </row>
    <row r="212" spans="1:22" x14ac:dyDescent="0.5">
      <c r="A212" s="3">
        <v>20</v>
      </c>
      <c r="B212" s="3">
        <v>0.29172001733333336</v>
      </c>
      <c r="C212" s="3">
        <v>5</v>
      </c>
      <c r="D212" s="3">
        <v>40</v>
      </c>
      <c r="E212" s="3">
        <v>0.06</v>
      </c>
      <c r="F212" s="3">
        <f t="shared" si="43"/>
        <v>2.8409000509219249</v>
      </c>
      <c r="G212" s="5">
        <v>0.4</v>
      </c>
      <c r="H212" s="4">
        <v>25000000</v>
      </c>
      <c r="I212" s="4">
        <f t="shared" si="41"/>
        <v>7293000.4333333336</v>
      </c>
      <c r="J212" s="3">
        <v>210000000000</v>
      </c>
      <c r="K212" s="4">
        <f t="shared" si="42"/>
        <v>8.6390302122964155E-2</v>
      </c>
      <c r="L212" s="6">
        <f t="shared" si="44"/>
        <v>3.4556120849185663</v>
      </c>
      <c r="M212" s="4">
        <f t="shared" si="45"/>
        <v>6998505.219003113</v>
      </c>
      <c r="N212" s="4">
        <f t="shared" si="46"/>
        <v>405051553.6478706</v>
      </c>
      <c r="O212" s="4">
        <f t="shared" si="47"/>
        <v>27136280578.189064</v>
      </c>
      <c r="P212" s="4">
        <f t="shared" si="48"/>
        <v>-2344311477.6432776</v>
      </c>
      <c r="Q212" s="4">
        <f t="shared" si="51"/>
        <v>57111951.928372264</v>
      </c>
      <c r="R212" s="4">
        <f t="shared" si="51"/>
        <v>3826194315.1159248</v>
      </c>
      <c r="S212" s="4">
        <f t="shared" si="51"/>
        <v>-330546082.86403275</v>
      </c>
      <c r="T212" s="3"/>
      <c r="U212" s="4">
        <f t="shared" si="49"/>
        <v>20420401.213333331</v>
      </c>
      <c r="V212">
        <f t="shared" si="50"/>
        <v>596589010693.60425</v>
      </c>
    </row>
    <row r="213" spans="1:22" x14ac:dyDescent="0.5">
      <c r="A213" s="3">
        <v>20</v>
      </c>
      <c r="B213" s="3">
        <v>0.25544174133333331</v>
      </c>
      <c r="C213" s="3">
        <v>5</v>
      </c>
      <c r="D213" s="3">
        <v>40</v>
      </c>
      <c r="E213" s="3">
        <v>0.06</v>
      </c>
      <c r="F213" s="3">
        <f t="shared" si="43"/>
        <v>2.8409000509219249</v>
      </c>
      <c r="G213" s="5">
        <v>0.4</v>
      </c>
      <c r="H213" s="4">
        <v>25000000</v>
      </c>
      <c r="I213" s="4">
        <f t="shared" si="41"/>
        <v>6386043.5333333323</v>
      </c>
      <c r="J213" s="3">
        <v>210000000000</v>
      </c>
      <c r="K213" s="4">
        <f t="shared" si="42"/>
        <v>8.6390302122964155E-2</v>
      </c>
      <c r="L213" s="6">
        <f t="shared" si="44"/>
        <v>3.4556120849185663</v>
      </c>
      <c r="M213" s="4">
        <f t="shared" si="45"/>
        <v>6060727.0993534215</v>
      </c>
      <c r="N213" s="4">
        <f t="shared" si="46"/>
        <v>350775894.42428672</v>
      </c>
      <c r="O213" s="4">
        <f t="shared" si="47"/>
        <v>23500102654.680214</v>
      </c>
      <c r="P213" s="4">
        <f t="shared" si="48"/>
        <v>-2030180968.2584958</v>
      </c>
      <c r="Q213" s="4">
        <f t="shared" si="51"/>
        <v>54275659.223583877</v>
      </c>
      <c r="R213" s="4">
        <f t="shared" si="51"/>
        <v>3636177923.5088501</v>
      </c>
      <c r="S213" s="4">
        <f t="shared" si="51"/>
        <v>-314130509.38478184</v>
      </c>
      <c r="T213" s="3"/>
      <c r="U213" s="4">
        <f t="shared" si="49"/>
        <v>17880921.893333331</v>
      </c>
      <c r="V213">
        <f t="shared" si="50"/>
        <v>596589010693.60425</v>
      </c>
    </row>
    <row r="214" spans="1:22" x14ac:dyDescent="0.5">
      <c r="A214" s="3">
        <v>20</v>
      </c>
      <c r="B214" s="3">
        <v>0.22407170299999998</v>
      </c>
      <c r="C214" s="3">
        <v>5</v>
      </c>
      <c r="D214" s="3">
        <v>40</v>
      </c>
      <c r="E214" s="3">
        <v>0.06</v>
      </c>
      <c r="F214" s="3">
        <f t="shared" si="43"/>
        <v>2.8409000509219249</v>
      </c>
      <c r="G214" s="5">
        <v>0.4</v>
      </c>
      <c r="H214" s="4">
        <v>25000000</v>
      </c>
      <c r="I214" s="4">
        <f t="shared" si="41"/>
        <v>5601792.5749999993</v>
      </c>
      <c r="J214" s="3">
        <v>210000000000</v>
      </c>
      <c r="K214" s="4">
        <f t="shared" si="42"/>
        <v>8.6390302122964155E-2</v>
      </c>
      <c r="L214" s="6">
        <f t="shared" si="44"/>
        <v>3.4556120849185663</v>
      </c>
      <c r="M214" s="4">
        <f t="shared" si="45"/>
        <v>5258692.8715999303</v>
      </c>
      <c r="N214" s="4">
        <f t="shared" si="46"/>
        <v>304356666.33709294</v>
      </c>
      <c r="O214" s="4">
        <f t="shared" si="47"/>
        <v>20390263459.514183</v>
      </c>
      <c r="P214" s="4">
        <f t="shared" si="48"/>
        <v>-1761521020.6342666</v>
      </c>
      <c r="Q214" s="4">
        <f t="shared" si="51"/>
        <v>46419228.087193787</v>
      </c>
      <c r="R214" s="4">
        <f t="shared" si="51"/>
        <v>3109839195.1660309</v>
      </c>
      <c r="S214" s="4">
        <f t="shared" si="51"/>
        <v>-268659947.62422919</v>
      </c>
      <c r="T214" s="3"/>
      <c r="U214" s="4">
        <f t="shared" si="49"/>
        <v>15685019.209999997</v>
      </c>
      <c r="V214">
        <f t="shared" si="50"/>
        <v>596589010693.60425</v>
      </c>
    </row>
    <row r="215" spans="1:22" x14ac:dyDescent="0.5">
      <c r="A215" s="3">
        <v>20</v>
      </c>
      <c r="B215" s="3">
        <v>0.19547588599999999</v>
      </c>
      <c r="C215" s="3">
        <v>5</v>
      </c>
      <c r="D215" s="3">
        <v>40</v>
      </c>
      <c r="E215" s="3">
        <v>0.06</v>
      </c>
      <c r="F215" s="3">
        <f t="shared" si="43"/>
        <v>2.8409000509219249</v>
      </c>
      <c r="G215" s="5">
        <v>0.4</v>
      </c>
      <c r="H215" s="4">
        <v>25000000</v>
      </c>
      <c r="I215" s="4">
        <f t="shared" si="41"/>
        <v>4886897.1499999994</v>
      </c>
      <c r="J215" s="3">
        <v>210000000000</v>
      </c>
      <c r="K215" s="4">
        <f t="shared" si="42"/>
        <v>8.6390302122964155E-2</v>
      </c>
      <c r="L215" s="6">
        <f t="shared" si="44"/>
        <v>3.4556120849185663</v>
      </c>
      <c r="M215" s="4">
        <f t="shared" si="45"/>
        <v>4535684.42384909</v>
      </c>
      <c r="N215" s="4">
        <f t="shared" si="46"/>
        <v>262511202.78484479</v>
      </c>
      <c r="O215" s="4">
        <f t="shared" si="47"/>
        <v>17586841945.260822</v>
      </c>
      <c r="P215" s="4">
        <f t="shared" si="48"/>
        <v>-1519332589.0399013</v>
      </c>
      <c r="Q215" s="4">
        <f t="shared" si="51"/>
        <v>41845463.55224815</v>
      </c>
      <c r="R215" s="4">
        <f t="shared" si="51"/>
        <v>2803421514.2533607</v>
      </c>
      <c r="S215" s="4">
        <f t="shared" si="51"/>
        <v>-242188431.59436536</v>
      </c>
      <c r="T215" s="3"/>
      <c r="U215" s="4">
        <f t="shared" si="49"/>
        <v>13683312.019999998</v>
      </c>
      <c r="V215">
        <f t="shared" si="50"/>
        <v>596589010693.60425</v>
      </c>
    </row>
    <row r="216" spans="1:22" x14ac:dyDescent="0.5">
      <c r="A216" s="3">
        <v>20</v>
      </c>
      <c r="B216" s="3">
        <v>0.16709346999999999</v>
      </c>
      <c r="C216" s="3">
        <v>5</v>
      </c>
      <c r="D216" s="3">
        <v>40</v>
      </c>
      <c r="E216" s="3">
        <v>0.06</v>
      </c>
      <c r="F216" s="3">
        <f t="shared" si="43"/>
        <v>2.8409000509219249</v>
      </c>
      <c r="G216" s="5">
        <v>0.4</v>
      </c>
      <c r="H216" s="4">
        <v>25000000</v>
      </c>
      <c r="I216" s="4">
        <f t="shared" si="41"/>
        <v>4177336.75</v>
      </c>
      <c r="J216" s="3">
        <v>210000000000</v>
      </c>
      <c r="K216" s="4">
        <f t="shared" si="42"/>
        <v>8.6390302122964155E-2</v>
      </c>
      <c r="L216" s="6">
        <f t="shared" si="44"/>
        <v>3.4556120849185663</v>
      </c>
      <c r="M216" s="4">
        <f t="shared" si="45"/>
        <v>3826760.7312570345</v>
      </c>
      <c r="N216" s="4">
        <f t="shared" si="46"/>
        <v>221480920.7294004</v>
      </c>
      <c r="O216" s="4">
        <f t="shared" si="47"/>
        <v>14838033217.010117</v>
      </c>
      <c r="P216" s="4">
        <f t="shared" si="48"/>
        <v>-1281862172.5280819</v>
      </c>
      <c r="Q216" s="4">
        <f t="shared" si="51"/>
        <v>41030282.05544439</v>
      </c>
      <c r="R216" s="4">
        <f t="shared" si="51"/>
        <v>2748808728.2507057</v>
      </c>
      <c r="S216" s="4">
        <f t="shared" si="51"/>
        <v>-237470416.51181936</v>
      </c>
      <c r="T216" s="3"/>
      <c r="U216" s="4">
        <f t="shared" si="49"/>
        <v>11696542.899999999</v>
      </c>
      <c r="V216">
        <f t="shared" si="50"/>
        <v>596589010693.60425</v>
      </c>
    </row>
    <row r="217" spans="1:22" x14ac:dyDescent="0.5">
      <c r="A217" s="3">
        <v>20</v>
      </c>
      <c r="B217" s="3">
        <v>0.14148527499999999</v>
      </c>
      <c r="C217" s="3">
        <v>5</v>
      </c>
      <c r="D217" s="3">
        <v>40</v>
      </c>
      <c r="E217" s="3">
        <v>0.06</v>
      </c>
      <c r="F217" s="3">
        <f t="shared" si="43"/>
        <v>2.8409000509219249</v>
      </c>
      <c r="G217" s="5">
        <v>0.4</v>
      </c>
      <c r="H217" s="4">
        <v>25000000</v>
      </c>
      <c r="I217" s="4">
        <f t="shared" si="41"/>
        <v>3537131.875</v>
      </c>
      <c r="J217" s="3">
        <v>210000000000</v>
      </c>
      <c r="K217" s="4">
        <f t="shared" si="42"/>
        <v>8.6390302122964155E-2</v>
      </c>
      <c r="L217" s="6">
        <f t="shared" si="44"/>
        <v>3.4556120849185663</v>
      </c>
      <c r="M217" s="4">
        <f t="shared" si="45"/>
        <v>3195673.4002344185</v>
      </c>
      <c r="N217" s="4">
        <f t="shared" si="46"/>
        <v>184955563.39679408</v>
      </c>
      <c r="O217" s="4">
        <f t="shared" si="47"/>
        <v>12391030271.65694</v>
      </c>
      <c r="P217" s="4">
        <f t="shared" si="48"/>
        <v>-1070464848.7832377</v>
      </c>
      <c r="Q217" s="4">
        <f t="shared" si="51"/>
        <v>36525357.332606316</v>
      </c>
      <c r="R217" s="4">
        <f t="shared" si="51"/>
        <v>2447002945.3531761</v>
      </c>
      <c r="S217" s="4">
        <f t="shared" si="51"/>
        <v>-211397323.7448442</v>
      </c>
      <c r="T217" s="3"/>
      <c r="U217" s="4">
        <f t="shared" si="49"/>
        <v>9903969.25</v>
      </c>
      <c r="V217">
        <f t="shared" si="50"/>
        <v>596589010693.60425</v>
      </c>
    </row>
    <row r="218" spans="1:22" x14ac:dyDescent="0.5">
      <c r="A218" s="3">
        <v>20</v>
      </c>
      <c r="B218" s="3">
        <v>0.11971830999999999</v>
      </c>
      <c r="C218" s="3">
        <v>5</v>
      </c>
      <c r="D218" s="3">
        <v>40</v>
      </c>
      <c r="E218" s="3">
        <v>0.06</v>
      </c>
      <c r="F218" s="3">
        <f t="shared" si="43"/>
        <v>2.8409000509219249</v>
      </c>
      <c r="G218" s="5">
        <v>0.4</v>
      </c>
      <c r="H218" s="4">
        <v>25000000</v>
      </c>
      <c r="I218" s="4">
        <f t="shared" si="41"/>
        <v>2992957.75</v>
      </c>
      <c r="J218" s="3">
        <v>210000000000</v>
      </c>
      <c r="K218" s="4">
        <f t="shared" si="42"/>
        <v>8.6390302122964155E-2</v>
      </c>
      <c r="L218" s="6">
        <f t="shared" si="44"/>
        <v>3.4556120849185663</v>
      </c>
      <c r="M218" s="4">
        <f t="shared" si="45"/>
        <v>2666648.8656630865</v>
      </c>
      <c r="N218" s="4">
        <f t="shared" si="46"/>
        <v>154337280.92925847</v>
      </c>
      <c r="O218" s="4">
        <f t="shared" si="47"/>
        <v>10339769644.760042</v>
      </c>
      <c r="P218" s="4">
        <f t="shared" si="48"/>
        <v>-893255823.49267387</v>
      </c>
      <c r="Q218" s="4">
        <f t="shared" si="51"/>
        <v>30618282.467535615</v>
      </c>
      <c r="R218" s="4">
        <f t="shared" si="51"/>
        <v>2051260626.8968983</v>
      </c>
      <c r="S218" s="4">
        <f t="shared" si="51"/>
        <v>-177209025.29056382</v>
      </c>
      <c r="T218" s="3"/>
      <c r="U218" s="4">
        <f t="shared" si="49"/>
        <v>8380281.6999999993</v>
      </c>
      <c r="V218">
        <f t="shared" si="50"/>
        <v>596589010693.60425</v>
      </c>
    </row>
    <row r="219" spans="1:22" x14ac:dyDescent="0.5">
      <c r="A219" s="3">
        <v>20</v>
      </c>
      <c r="B219" s="3">
        <v>0.10072556566666667</v>
      </c>
      <c r="C219" s="3">
        <v>5</v>
      </c>
      <c r="D219" s="3">
        <v>40</v>
      </c>
      <c r="E219" s="3">
        <v>0.06</v>
      </c>
      <c r="F219" s="3">
        <f t="shared" si="43"/>
        <v>2.8409000509219249</v>
      </c>
      <c r="G219" s="5">
        <v>0.4</v>
      </c>
      <c r="H219" s="4">
        <v>25000000</v>
      </c>
      <c r="I219" s="4">
        <f t="shared" si="41"/>
        <v>2518139.1416666666</v>
      </c>
      <c r="J219" s="3">
        <v>210000000000</v>
      </c>
      <c r="K219" s="4">
        <f t="shared" si="42"/>
        <v>8.6390302122964155E-2</v>
      </c>
      <c r="L219" s="6">
        <f t="shared" si="44"/>
        <v>3.4556120849185663</v>
      </c>
      <c r="M219" s="4">
        <f t="shared" si="45"/>
        <v>2211532.0221308847</v>
      </c>
      <c r="N219" s="4">
        <f t="shared" si="46"/>
        <v>127996544.04397656</v>
      </c>
      <c r="O219" s="4">
        <f t="shared" si="47"/>
        <v>8575081618.4633636</v>
      </c>
      <c r="P219" s="4">
        <f t="shared" si="48"/>
        <v>-740803891.74812651</v>
      </c>
      <c r="Q219" s="4">
        <f t="shared" si="51"/>
        <v>26340736.885281906</v>
      </c>
      <c r="R219" s="4">
        <f t="shared" si="51"/>
        <v>1764688026.2966785</v>
      </c>
      <c r="S219" s="4">
        <f t="shared" si="51"/>
        <v>-152451931.74454737</v>
      </c>
      <c r="T219" s="3"/>
      <c r="U219" s="4">
        <f t="shared" si="49"/>
        <v>7050789.5966666657</v>
      </c>
      <c r="V219">
        <f t="shared" si="50"/>
        <v>596589010693.60425</v>
      </c>
    </row>
    <row r="220" spans="1:22" x14ac:dyDescent="0.5">
      <c r="A220" s="3">
        <v>20</v>
      </c>
      <c r="B220" s="3">
        <v>9.1335894333333334E-2</v>
      </c>
      <c r="C220" s="3">
        <v>5</v>
      </c>
      <c r="D220" s="3">
        <v>40</v>
      </c>
      <c r="E220" s="3">
        <v>0.06</v>
      </c>
      <c r="F220" s="3">
        <f t="shared" si="43"/>
        <v>2.8409000509219249</v>
      </c>
      <c r="G220" s="5">
        <v>0.4</v>
      </c>
      <c r="H220" s="4">
        <v>25000000</v>
      </c>
      <c r="I220" s="4">
        <f t="shared" si="41"/>
        <v>2283397.3583333334</v>
      </c>
      <c r="J220" s="3">
        <v>210000000000</v>
      </c>
      <c r="K220" s="4">
        <f t="shared" si="42"/>
        <v>8.6390302122964155E-2</v>
      </c>
      <c r="L220" s="6">
        <f t="shared" si="44"/>
        <v>3.4556120849185663</v>
      </c>
      <c r="M220" s="4">
        <f t="shared" si="45"/>
        <v>1989085.6472003344</v>
      </c>
      <c r="N220" s="4">
        <f t="shared" si="46"/>
        <v>115122044.85459244</v>
      </c>
      <c r="O220" s="4">
        <f t="shared" si="47"/>
        <v>7712559257.6418209</v>
      </c>
      <c r="P220" s="4">
        <f t="shared" si="48"/>
        <v>-666290324.40894115</v>
      </c>
      <c r="Q220" s="4">
        <f t="shared" si="51"/>
        <v>12874499.189384118</v>
      </c>
      <c r="R220" s="4">
        <f t="shared" si="51"/>
        <v>862522360.82154274</v>
      </c>
      <c r="S220" s="4">
        <f t="shared" si="51"/>
        <v>-74513567.339185357</v>
      </c>
      <c r="T220" s="3"/>
      <c r="U220" s="4">
        <f t="shared" si="49"/>
        <v>6393512.6033333335</v>
      </c>
      <c r="V220">
        <f t="shared" si="50"/>
        <v>596589010693.60425</v>
      </c>
    </row>
    <row r="221" spans="1:22" x14ac:dyDescent="0.5">
      <c r="A221" s="3">
        <v>20</v>
      </c>
      <c r="B221" s="3">
        <v>8.066581266666667E-2</v>
      </c>
      <c r="C221" s="3">
        <v>5</v>
      </c>
      <c r="D221" s="3">
        <v>40</v>
      </c>
      <c r="E221" s="3">
        <v>0.06</v>
      </c>
      <c r="F221" s="3">
        <f t="shared" si="43"/>
        <v>2.8409000509219249</v>
      </c>
      <c r="G221" s="5">
        <v>0.4</v>
      </c>
      <c r="H221" s="4">
        <v>25000000</v>
      </c>
      <c r="I221" s="4">
        <f t="shared" si="41"/>
        <v>2016645.3166666667</v>
      </c>
      <c r="J221" s="3">
        <v>210000000000</v>
      </c>
      <c r="K221" s="4">
        <f t="shared" si="42"/>
        <v>8.6390302122964155E-2</v>
      </c>
      <c r="L221" s="6">
        <f t="shared" si="44"/>
        <v>3.4556120849185663</v>
      </c>
      <c r="M221" s="4">
        <f t="shared" si="45"/>
        <v>1738623.3733088491</v>
      </c>
      <c r="N221" s="4">
        <f t="shared" si="46"/>
        <v>100626073.21561214</v>
      </c>
      <c r="O221" s="4">
        <f t="shared" si="47"/>
        <v>6741406943.5568552</v>
      </c>
      <c r="P221" s="4">
        <f t="shared" si="48"/>
        <v>-582392182.58772504</v>
      </c>
      <c r="Q221" s="4">
        <f t="shared" si="51"/>
        <v>14495971.638980299</v>
      </c>
      <c r="R221" s="4">
        <f t="shared" si="51"/>
        <v>971152314.08496571</v>
      </c>
      <c r="S221" s="4">
        <f t="shared" si="51"/>
        <v>-83898141.821216106</v>
      </c>
      <c r="T221" s="3"/>
      <c r="U221" s="4">
        <f t="shared" si="49"/>
        <v>5646606.8866666667</v>
      </c>
      <c r="V221">
        <f t="shared" si="50"/>
        <v>596589010693.60425</v>
      </c>
    </row>
    <row r="222" spans="1:22" x14ac:dyDescent="0.5">
      <c r="A222" s="3">
        <v>25</v>
      </c>
      <c r="B222" s="3">
        <v>1</v>
      </c>
      <c r="C222" s="3">
        <v>5</v>
      </c>
      <c r="D222" s="3">
        <v>20</v>
      </c>
      <c r="E222" s="3">
        <v>0.06</v>
      </c>
      <c r="F222" s="3">
        <f t="shared" si="43"/>
        <v>2.8409000509219249</v>
      </c>
      <c r="G222" s="5">
        <v>0.4</v>
      </c>
      <c r="H222" s="4">
        <v>25000000</v>
      </c>
      <c r="I222" s="4">
        <f>B222*$H$222</f>
        <v>25000000</v>
      </c>
      <c r="J222" s="3">
        <v>210000000000</v>
      </c>
      <c r="K222" s="4">
        <f>(($M$222*C222)/(4*J222*F222))^(1/4)</f>
        <v>8.6390302122964155E-2</v>
      </c>
      <c r="L222" s="6">
        <f t="shared" si="44"/>
        <v>1.7278060424592832</v>
      </c>
      <c r="M222" s="4">
        <f t="shared" si="45"/>
        <v>26584298.671857044</v>
      </c>
      <c r="N222" s="4">
        <f t="shared" si="46"/>
        <v>2658429867.1857042</v>
      </c>
      <c r="O222" s="4">
        <f t="shared" si="47"/>
        <v>354457315624.76056</v>
      </c>
      <c r="P222" s="4">
        <f t="shared" si="48"/>
        <v>-26584298671.857044</v>
      </c>
      <c r="Q222" s="4">
        <f>N222</f>
        <v>2658429867.1857042</v>
      </c>
      <c r="R222" s="4">
        <f t="shared" ref="R222:S222" si="52">O222</f>
        <v>354457315624.76056</v>
      </c>
      <c r="S222" s="4">
        <f t="shared" si="52"/>
        <v>-26584298671.857044</v>
      </c>
      <c r="T222" s="3"/>
      <c r="U222" s="4">
        <f t="shared" si="49"/>
        <v>70000000</v>
      </c>
      <c r="V222">
        <f t="shared" si="50"/>
        <v>596589010693.60425</v>
      </c>
    </row>
    <row r="223" spans="1:22" x14ac:dyDescent="0.5">
      <c r="A223" s="3">
        <v>25</v>
      </c>
      <c r="B223" s="3">
        <v>1</v>
      </c>
      <c r="C223" s="3">
        <v>5</v>
      </c>
      <c r="D223" s="3">
        <v>20</v>
      </c>
      <c r="E223" s="3">
        <v>0.06</v>
      </c>
      <c r="F223" s="3">
        <f t="shared" si="43"/>
        <v>2.8409000509219249</v>
      </c>
      <c r="G223" s="5">
        <v>0.4</v>
      </c>
      <c r="H223" s="4">
        <v>25000000</v>
      </c>
      <c r="I223" s="4">
        <f t="shared" ref="I223:I265" si="53">B223*$H$222</f>
        <v>25000000</v>
      </c>
      <c r="J223" s="3">
        <v>210000000000</v>
      </c>
      <c r="K223" s="4">
        <f t="shared" ref="K223:K265" si="54">(($M$222*C223)/(4*J223*F223))^(1/4)</f>
        <v>8.6390302122964155E-2</v>
      </c>
      <c r="L223" s="6">
        <f t="shared" si="44"/>
        <v>1.7278060424592832</v>
      </c>
      <c r="M223" s="4">
        <f t="shared" si="45"/>
        <v>26584298.671857044</v>
      </c>
      <c r="N223" s="4">
        <f t="shared" si="46"/>
        <v>2658429867.1857042</v>
      </c>
      <c r="O223" s="4">
        <f t="shared" si="47"/>
        <v>354457315624.76056</v>
      </c>
      <c r="P223" s="4">
        <f t="shared" si="48"/>
        <v>-26584298671.857044</v>
      </c>
      <c r="Q223" s="4">
        <f t="shared" si="51"/>
        <v>0</v>
      </c>
      <c r="R223" s="4">
        <f t="shared" si="51"/>
        <v>0</v>
      </c>
      <c r="S223" s="4">
        <f t="shared" si="51"/>
        <v>0</v>
      </c>
      <c r="T223" s="3"/>
      <c r="U223" s="4">
        <f t="shared" si="49"/>
        <v>70000000</v>
      </c>
      <c r="V223">
        <f t="shared" si="50"/>
        <v>596589010693.60425</v>
      </c>
    </row>
    <row r="224" spans="1:22" x14ac:dyDescent="0.5">
      <c r="A224" s="3">
        <v>25</v>
      </c>
      <c r="B224" s="3">
        <v>1</v>
      </c>
      <c r="C224" s="3">
        <v>5</v>
      </c>
      <c r="D224" s="3">
        <v>20</v>
      </c>
      <c r="E224" s="3">
        <v>0.06</v>
      </c>
      <c r="F224" s="3">
        <f t="shared" si="43"/>
        <v>2.8409000509219249</v>
      </c>
      <c r="G224" s="5">
        <v>0.4</v>
      </c>
      <c r="H224" s="4">
        <v>25000000</v>
      </c>
      <c r="I224" s="4">
        <f t="shared" si="53"/>
        <v>25000000</v>
      </c>
      <c r="J224" s="3">
        <v>210000000000</v>
      </c>
      <c r="K224" s="4">
        <f t="shared" si="54"/>
        <v>8.6390302122964155E-2</v>
      </c>
      <c r="L224" s="6">
        <f t="shared" si="44"/>
        <v>1.7278060424592832</v>
      </c>
      <c r="M224" s="4">
        <f t="shared" si="45"/>
        <v>26584298.671857044</v>
      </c>
      <c r="N224" s="4">
        <f t="shared" si="46"/>
        <v>2658429867.1857042</v>
      </c>
      <c r="O224" s="4">
        <f t="shared" si="47"/>
        <v>354457315624.76056</v>
      </c>
      <c r="P224" s="4">
        <f t="shared" si="48"/>
        <v>-26584298671.857044</v>
      </c>
      <c r="Q224" s="4">
        <f t="shared" si="51"/>
        <v>0</v>
      </c>
      <c r="R224" s="4">
        <f t="shared" si="51"/>
        <v>0</v>
      </c>
      <c r="S224" s="4">
        <f t="shared" si="51"/>
        <v>0</v>
      </c>
      <c r="T224" s="3"/>
      <c r="U224" s="4">
        <f t="shared" si="49"/>
        <v>70000000</v>
      </c>
      <c r="V224">
        <f t="shared" si="50"/>
        <v>596589010693.60425</v>
      </c>
    </row>
    <row r="225" spans="1:22" x14ac:dyDescent="0.5">
      <c r="A225" s="3">
        <v>25</v>
      </c>
      <c r="B225" s="3">
        <v>1</v>
      </c>
      <c r="C225" s="3">
        <v>5</v>
      </c>
      <c r="D225" s="3">
        <v>20</v>
      </c>
      <c r="E225" s="3">
        <v>0.06</v>
      </c>
      <c r="F225" s="3">
        <f t="shared" si="43"/>
        <v>2.8409000509219249</v>
      </c>
      <c r="G225" s="5">
        <v>0.4</v>
      </c>
      <c r="H225" s="4">
        <v>25000000</v>
      </c>
      <c r="I225" s="4">
        <f t="shared" si="53"/>
        <v>25000000</v>
      </c>
      <c r="J225" s="3">
        <v>210000000000</v>
      </c>
      <c r="K225" s="4">
        <f t="shared" si="54"/>
        <v>8.6390302122964155E-2</v>
      </c>
      <c r="L225" s="6">
        <f t="shared" si="44"/>
        <v>1.7278060424592832</v>
      </c>
      <c r="M225" s="4">
        <f t="shared" si="45"/>
        <v>26584298.671857044</v>
      </c>
      <c r="N225" s="4">
        <f t="shared" si="46"/>
        <v>2658429867.1857042</v>
      </c>
      <c r="O225" s="4">
        <f t="shared" si="47"/>
        <v>354457315624.76056</v>
      </c>
      <c r="P225" s="4">
        <f t="shared" si="48"/>
        <v>-26584298671.857044</v>
      </c>
      <c r="Q225" s="4">
        <f t="shared" si="51"/>
        <v>0</v>
      </c>
      <c r="R225" s="4">
        <f t="shared" si="51"/>
        <v>0</v>
      </c>
      <c r="S225" s="4">
        <f t="shared" si="51"/>
        <v>0</v>
      </c>
      <c r="T225" s="3"/>
      <c r="U225" s="4">
        <f t="shared" si="49"/>
        <v>70000000</v>
      </c>
      <c r="V225">
        <f t="shared" si="50"/>
        <v>596589010693.60425</v>
      </c>
    </row>
    <row r="226" spans="1:22" x14ac:dyDescent="0.5">
      <c r="A226" s="3">
        <v>25</v>
      </c>
      <c r="B226" s="3">
        <v>1</v>
      </c>
      <c r="C226" s="3">
        <v>5</v>
      </c>
      <c r="D226" s="3">
        <v>20</v>
      </c>
      <c r="E226" s="3">
        <v>0.06</v>
      </c>
      <c r="F226" s="3">
        <f t="shared" si="43"/>
        <v>2.8409000509219249</v>
      </c>
      <c r="G226" s="5">
        <v>0.4</v>
      </c>
      <c r="H226" s="4">
        <v>25000000</v>
      </c>
      <c r="I226" s="4">
        <f t="shared" si="53"/>
        <v>25000000</v>
      </c>
      <c r="J226" s="3">
        <v>210000000000</v>
      </c>
      <c r="K226" s="4">
        <f t="shared" si="54"/>
        <v>8.6390302122964155E-2</v>
      </c>
      <c r="L226" s="6">
        <f t="shared" si="44"/>
        <v>1.7278060424592832</v>
      </c>
      <c r="M226" s="4">
        <f t="shared" si="45"/>
        <v>26584298.671857044</v>
      </c>
      <c r="N226" s="4">
        <f t="shared" si="46"/>
        <v>2658429867.1857042</v>
      </c>
      <c r="O226" s="4">
        <f t="shared" si="47"/>
        <v>354457315624.76056</v>
      </c>
      <c r="P226" s="4">
        <f t="shared" si="48"/>
        <v>-26584298671.857044</v>
      </c>
      <c r="Q226" s="4">
        <f t="shared" si="51"/>
        <v>0</v>
      </c>
      <c r="R226" s="4">
        <f t="shared" si="51"/>
        <v>0</v>
      </c>
      <c r="S226" s="4">
        <f t="shared" si="51"/>
        <v>0</v>
      </c>
      <c r="T226" s="3"/>
      <c r="U226" s="4">
        <f t="shared" si="49"/>
        <v>70000000</v>
      </c>
      <c r="V226">
        <f t="shared" si="50"/>
        <v>596589010693.60425</v>
      </c>
    </row>
    <row r="227" spans="1:22" x14ac:dyDescent="0.5">
      <c r="A227" s="3">
        <v>25</v>
      </c>
      <c r="B227" s="3">
        <v>1</v>
      </c>
      <c r="C227" s="3">
        <v>5</v>
      </c>
      <c r="D227" s="3">
        <v>20</v>
      </c>
      <c r="E227" s="3">
        <v>0.06</v>
      </c>
      <c r="F227" s="3">
        <f t="shared" si="43"/>
        <v>2.8409000509219249</v>
      </c>
      <c r="G227" s="5">
        <v>0.4</v>
      </c>
      <c r="H227" s="4">
        <v>25000000</v>
      </c>
      <c r="I227" s="4">
        <f t="shared" si="53"/>
        <v>25000000</v>
      </c>
      <c r="J227" s="3">
        <v>210000000000</v>
      </c>
      <c r="K227" s="4">
        <f t="shared" si="54"/>
        <v>8.6390302122964155E-2</v>
      </c>
      <c r="L227" s="6">
        <f t="shared" si="44"/>
        <v>1.7278060424592832</v>
      </c>
      <c r="M227" s="4">
        <f t="shared" si="45"/>
        <v>26584298.671857044</v>
      </c>
      <c r="N227" s="4">
        <f t="shared" si="46"/>
        <v>2658429867.1857042</v>
      </c>
      <c r="O227" s="4">
        <f t="shared" si="47"/>
        <v>354457315624.76056</v>
      </c>
      <c r="P227" s="4">
        <f t="shared" si="48"/>
        <v>-26584298671.857044</v>
      </c>
      <c r="Q227" s="4">
        <f t="shared" si="51"/>
        <v>0</v>
      </c>
      <c r="R227" s="4">
        <f t="shared" si="51"/>
        <v>0</v>
      </c>
      <c r="S227" s="4">
        <f t="shared" si="51"/>
        <v>0</v>
      </c>
      <c r="T227" s="3"/>
      <c r="U227" s="4">
        <f t="shared" si="49"/>
        <v>70000000</v>
      </c>
      <c r="V227">
        <f t="shared" si="50"/>
        <v>596589010693.60425</v>
      </c>
    </row>
    <row r="228" spans="1:22" x14ac:dyDescent="0.5">
      <c r="A228" s="3">
        <v>25</v>
      </c>
      <c r="B228" s="3">
        <v>1</v>
      </c>
      <c r="C228" s="3">
        <v>5</v>
      </c>
      <c r="D228" s="3">
        <v>20</v>
      </c>
      <c r="E228" s="3">
        <v>0.06</v>
      </c>
      <c r="F228" s="3">
        <f t="shared" si="43"/>
        <v>2.8409000509219249</v>
      </c>
      <c r="G228" s="5">
        <v>0.4</v>
      </c>
      <c r="H228" s="4">
        <v>25000000</v>
      </c>
      <c r="I228" s="4">
        <f t="shared" si="53"/>
        <v>25000000</v>
      </c>
      <c r="J228" s="3">
        <v>210000000000</v>
      </c>
      <c r="K228" s="4">
        <f t="shared" si="54"/>
        <v>8.6390302122964155E-2</v>
      </c>
      <c r="L228" s="6">
        <f t="shared" si="44"/>
        <v>1.7278060424592832</v>
      </c>
      <c r="M228" s="4">
        <f t="shared" si="45"/>
        <v>26584298.671857044</v>
      </c>
      <c r="N228" s="4">
        <f t="shared" si="46"/>
        <v>2658429867.1857042</v>
      </c>
      <c r="O228" s="4">
        <f t="shared" si="47"/>
        <v>354457315624.76056</v>
      </c>
      <c r="P228" s="4">
        <f t="shared" si="48"/>
        <v>-26584298671.857044</v>
      </c>
      <c r="Q228" s="4">
        <f t="shared" si="51"/>
        <v>0</v>
      </c>
      <c r="R228" s="4">
        <f t="shared" si="51"/>
        <v>0</v>
      </c>
      <c r="S228" s="4">
        <f t="shared" si="51"/>
        <v>0</v>
      </c>
      <c r="T228" s="3"/>
      <c r="U228" s="4">
        <f t="shared" si="49"/>
        <v>70000000</v>
      </c>
      <c r="V228">
        <f t="shared" si="50"/>
        <v>596589010693.60425</v>
      </c>
    </row>
    <row r="229" spans="1:22" x14ac:dyDescent="0.5">
      <c r="A229" s="3">
        <v>25</v>
      </c>
      <c r="B229" s="3">
        <v>1</v>
      </c>
      <c r="C229" s="3">
        <v>5</v>
      </c>
      <c r="D229" s="3">
        <v>20</v>
      </c>
      <c r="E229" s="3">
        <v>0.06</v>
      </c>
      <c r="F229" s="3">
        <f t="shared" si="43"/>
        <v>2.8409000509219249</v>
      </c>
      <c r="G229" s="5">
        <v>0.4</v>
      </c>
      <c r="H229" s="4">
        <v>25000000</v>
      </c>
      <c r="I229" s="4">
        <f t="shared" si="53"/>
        <v>25000000</v>
      </c>
      <c r="J229" s="3">
        <v>210000000000</v>
      </c>
      <c r="K229" s="4">
        <f t="shared" si="54"/>
        <v>8.6390302122964155E-2</v>
      </c>
      <c r="L229" s="6">
        <f t="shared" si="44"/>
        <v>1.7278060424592832</v>
      </c>
      <c r="M229" s="4">
        <f t="shared" si="45"/>
        <v>26584298.671857044</v>
      </c>
      <c r="N229" s="4">
        <f t="shared" si="46"/>
        <v>2658429867.1857042</v>
      </c>
      <c r="O229" s="4">
        <f t="shared" si="47"/>
        <v>354457315624.76056</v>
      </c>
      <c r="P229" s="4">
        <f t="shared" si="48"/>
        <v>-26584298671.857044</v>
      </c>
      <c r="Q229" s="4">
        <f t="shared" si="51"/>
        <v>0</v>
      </c>
      <c r="R229" s="4">
        <f t="shared" si="51"/>
        <v>0</v>
      </c>
      <c r="S229" s="4">
        <f t="shared" si="51"/>
        <v>0</v>
      </c>
      <c r="T229" s="3"/>
      <c r="U229" s="4">
        <f t="shared" si="49"/>
        <v>70000000</v>
      </c>
      <c r="V229">
        <f t="shared" si="50"/>
        <v>596589010693.60425</v>
      </c>
    </row>
    <row r="230" spans="1:22" x14ac:dyDescent="0.5">
      <c r="A230" s="3">
        <v>25</v>
      </c>
      <c r="B230" s="3">
        <v>1</v>
      </c>
      <c r="C230" s="3">
        <v>5</v>
      </c>
      <c r="D230" s="3">
        <v>20</v>
      </c>
      <c r="E230" s="3">
        <v>0.06</v>
      </c>
      <c r="F230" s="3">
        <f t="shared" si="43"/>
        <v>2.8409000509219249</v>
      </c>
      <c r="G230" s="5">
        <v>0.4</v>
      </c>
      <c r="H230" s="4">
        <v>25000000</v>
      </c>
      <c r="I230" s="4">
        <f t="shared" si="53"/>
        <v>25000000</v>
      </c>
      <c r="J230" s="3">
        <v>210000000000</v>
      </c>
      <c r="K230" s="4">
        <f t="shared" si="54"/>
        <v>8.6390302122964155E-2</v>
      </c>
      <c r="L230" s="6">
        <f t="shared" si="44"/>
        <v>1.7278060424592832</v>
      </c>
      <c r="M230" s="4">
        <f t="shared" si="45"/>
        <v>26584298.671857044</v>
      </c>
      <c r="N230" s="4">
        <f t="shared" si="46"/>
        <v>2658429867.1857042</v>
      </c>
      <c r="O230" s="4">
        <f t="shared" si="47"/>
        <v>354457315624.76056</v>
      </c>
      <c r="P230" s="4">
        <f t="shared" si="48"/>
        <v>-26584298671.857044</v>
      </c>
      <c r="Q230" s="4">
        <f t="shared" si="51"/>
        <v>0</v>
      </c>
      <c r="R230" s="4">
        <f t="shared" si="51"/>
        <v>0</v>
      </c>
      <c r="S230" s="4">
        <f t="shared" si="51"/>
        <v>0</v>
      </c>
      <c r="T230" s="3"/>
      <c r="U230" s="4">
        <f t="shared" si="49"/>
        <v>70000000</v>
      </c>
      <c r="V230">
        <f t="shared" si="50"/>
        <v>596589010693.60425</v>
      </c>
    </row>
    <row r="231" spans="1:22" x14ac:dyDescent="0.5">
      <c r="A231" s="3">
        <v>25</v>
      </c>
      <c r="B231" s="3">
        <v>1</v>
      </c>
      <c r="C231" s="3">
        <v>5</v>
      </c>
      <c r="D231" s="3">
        <v>20</v>
      </c>
      <c r="E231" s="3">
        <v>0.06</v>
      </c>
      <c r="F231" s="3">
        <f t="shared" si="43"/>
        <v>2.8409000509219249</v>
      </c>
      <c r="G231" s="5">
        <v>0.4</v>
      </c>
      <c r="H231" s="4">
        <v>25000000</v>
      </c>
      <c r="I231" s="4">
        <f t="shared" si="53"/>
        <v>25000000</v>
      </c>
      <c r="J231" s="3">
        <v>210000000000</v>
      </c>
      <c r="K231" s="4">
        <f t="shared" si="54"/>
        <v>8.6390302122964155E-2</v>
      </c>
      <c r="L231" s="6">
        <f t="shared" si="44"/>
        <v>1.7278060424592832</v>
      </c>
      <c r="M231" s="4">
        <f t="shared" si="45"/>
        <v>26584298.671857044</v>
      </c>
      <c r="N231" s="4">
        <f t="shared" si="46"/>
        <v>2658429867.1857042</v>
      </c>
      <c r="O231" s="4">
        <f t="shared" si="47"/>
        <v>354457315624.76056</v>
      </c>
      <c r="P231" s="4">
        <f t="shared" si="48"/>
        <v>-26584298671.857044</v>
      </c>
      <c r="Q231" s="4">
        <f t="shared" si="51"/>
        <v>0</v>
      </c>
      <c r="R231" s="4">
        <f t="shared" si="51"/>
        <v>0</v>
      </c>
      <c r="S231" s="4">
        <f t="shared" si="51"/>
        <v>0</v>
      </c>
      <c r="T231" s="3"/>
      <c r="U231" s="4">
        <f t="shared" si="49"/>
        <v>70000000</v>
      </c>
      <c r="V231">
        <f t="shared" si="50"/>
        <v>596589010693.60425</v>
      </c>
    </row>
    <row r="232" spans="1:22" x14ac:dyDescent="0.5">
      <c r="A232" s="3">
        <v>25</v>
      </c>
      <c r="B232" s="3">
        <v>1</v>
      </c>
      <c r="C232" s="3">
        <v>5</v>
      </c>
      <c r="D232" s="3">
        <v>20</v>
      </c>
      <c r="E232" s="3">
        <v>0.06</v>
      </c>
      <c r="F232" s="3">
        <f t="shared" si="43"/>
        <v>2.8409000509219249</v>
      </c>
      <c r="G232" s="5">
        <v>0.4</v>
      </c>
      <c r="H232" s="4">
        <v>25000000</v>
      </c>
      <c r="I232" s="4">
        <f t="shared" si="53"/>
        <v>25000000</v>
      </c>
      <c r="J232" s="3">
        <v>210000000000</v>
      </c>
      <c r="K232" s="4">
        <f t="shared" si="54"/>
        <v>8.6390302122964155E-2</v>
      </c>
      <c r="L232" s="6">
        <f t="shared" si="44"/>
        <v>1.7278060424592832</v>
      </c>
      <c r="M232" s="4">
        <f t="shared" si="45"/>
        <v>26584298.671857044</v>
      </c>
      <c r="N232" s="4">
        <f t="shared" si="46"/>
        <v>2658429867.1857042</v>
      </c>
      <c r="O232" s="4">
        <f t="shared" si="47"/>
        <v>354457315624.76056</v>
      </c>
      <c r="P232" s="4">
        <f t="shared" si="48"/>
        <v>-26584298671.857044</v>
      </c>
      <c r="Q232" s="4">
        <f t="shared" si="51"/>
        <v>0</v>
      </c>
      <c r="R232" s="4">
        <f t="shared" si="51"/>
        <v>0</v>
      </c>
      <c r="S232" s="4">
        <f t="shared" si="51"/>
        <v>0</v>
      </c>
      <c r="T232" s="3"/>
      <c r="U232" s="4">
        <f t="shared" si="49"/>
        <v>70000000</v>
      </c>
      <c r="V232">
        <f t="shared" si="50"/>
        <v>596589010693.60425</v>
      </c>
    </row>
    <row r="233" spans="1:22" x14ac:dyDescent="0.5">
      <c r="A233" s="3">
        <v>25</v>
      </c>
      <c r="B233" s="3">
        <v>1</v>
      </c>
      <c r="C233" s="3">
        <v>5</v>
      </c>
      <c r="D233" s="3">
        <v>20</v>
      </c>
      <c r="E233" s="3">
        <v>0.06</v>
      </c>
      <c r="F233" s="3">
        <f t="shared" si="43"/>
        <v>2.8409000509219249</v>
      </c>
      <c r="G233" s="5">
        <v>0.4</v>
      </c>
      <c r="H233" s="4">
        <v>25000000</v>
      </c>
      <c r="I233" s="4">
        <f t="shared" si="53"/>
        <v>25000000</v>
      </c>
      <c r="J233" s="3">
        <v>210000000000</v>
      </c>
      <c r="K233" s="4">
        <f t="shared" si="54"/>
        <v>8.6390302122964155E-2</v>
      </c>
      <c r="L233" s="6">
        <f t="shared" si="44"/>
        <v>1.7278060424592832</v>
      </c>
      <c r="M233" s="4">
        <f t="shared" si="45"/>
        <v>26584298.671857044</v>
      </c>
      <c r="N233" s="4">
        <f t="shared" si="46"/>
        <v>2658429867.1857042</v>
      </c>
      <c r="O233" s="4">
        <f t="shared" si="47"/>
        <v>354457315624.76056</v>
      </c>
      <c r="P233" s="4">
        <f t="shared" si="48"/>
        <v>-26584298671.857044</v>
      </c>
      <c r="Q233" s="4">
        <f t="shared" si="51"/>
        <v>0</v>
      </c>
      <c r="R233" s="4">
        <f t="shared" si="51"/>
        <v>0</v>
      </c>
      <c r="S233" s="4">
        <f t="shared" si="51"/>
        <v>0</v>
      </c>
      <c r="T233" s="3"/>
      <c r="U233" s="4">
        <f t="shared" si="49"/>
        <v>70000000</v>
      </c>
      <c r="V233">
        <f t="shared" si="50"/>
        <v>596589010693.60425</v>
      </c>
    </row>
    <row r="234" spans="1:22" x14ac:dyDescent="0.5">
      <c r="A234" s="3">
        <v>25</v>
      </c>
      <c r="B234" s="3">
        <v>1</v>
      </c>
      <c r="C234" s="3">
        <v>5</v>
      </c>
      <c r="D234" s="3">
        <v>20</v>
      </c>
      <c r="E234" s="3">
        <v>0.06</v>
      </c>
      <c r="F234" s="3">
        <f t="shared" si="43"/>
        <v>2.8409000509219249</v>
      </c>
      <c r="G234" s="5">
        <v>0.4</v>
      </c>
      <c r="H234" s="4">
        <v>25000000</v>
      </c>
      <c r="I234" s="4">
        <f t="shared" si="53"/>
        <v>25000000</v>
      </c>
      <c r="J234" s="3">
        <v>210000000000</v>
      </c>
      <c r="K234" s="4">
        <f t="shared" si="54"/>
        <v>8.6390302122964155E-2</v>
      </c>
      <c r="L234" s="6">
        <f t="shared" si="44"/>
        <v>1.7278060424592832</v>
      </c>
      <c r="M234" s="4">
        <f t="shared" si="45"/>
        <v>26584298.671857044</v>
      </c>
      <c r="N234" s="4">
        <f t="shared" si="46"/>
        <v>2658429867.1857042</v>
      </c>
      <c r="O234" s="4">
        <f t="shared" si="47"/>
        <v>354457315624.76056</v>
      </c>
      <c r="P234" s="4">
        <f t="shared" si="48"/>
        <v>-26584298671.857044</v>
      </c>
      <c r="Q234" s="4">
        <f t="shared" si="51"/>
        <v>0</v>
      </c>
      <c r="R234" s="4">
        <f t="shared" si="51"/>
        <v>0</v>
      </c>
      <c r="S234" s="4">
        <f t="shared" si="51"/>
        <v>0</v>
      </c>
      <c r="T234" s="3"/>
      <c r="U234" s="4">
        <f t="shared" si="49"/>
        <v>70000000</v>
      </c>
      <c r="V234">
        <f t="shared" si="50"/>
        <v>596589010693.60425</v>
      </c>
    </row>
    <row r="235" spans="1:22" x14ac:dyDescent="0.5">
      <c r="A235" s="3">
        <v>25</v>
      </c>
      <c r="B235" s="3">
        <v>0.98847631266666669</v>
      </c>
      <c r="C235" s="3">
        <v>5</v>
      </c>
      <c r="D235" s="3">
        <v>20</v>
      </c>
      <c r="E235" s="3">
        <v>0.06</v>
      </c>
      <c r="F235" s="3">
        <f t="shared" si="43"/>
        <v>2.8409000509219249</v>
      </c>
      <c r="G235" s="5">
        <v>0.4</v>
      </c>
      <c r="H235" s="4">
        <v>25000000</v>
      </c>
      <c r="I235" s="4">
        <f t="shared" si="53"/>
        <v>24711907.816666666</v>
      </c>
      <c r="J235" s="3">
        <v>210000000000</v>
      </c>
      <c r="K235" s="4">
        <f t="shared" si="54"/>
        <v>8.6390302122964155E-2</v>
      </c>
      <c r="L235" s="6">
        <f t="shared" si="44"/>
        <v>1.7278060424592832</v>
      </c>
      <c r="M235" s="4">
        <f t="shared" si="45"/>
        <v>26252580.347262416</v>
      </c>
      <c r="N235" s="4">
        <f t="shared" si="46"/>
        <v>2625258034.7262416</v>
      </c>
      <c r="O235" s="4">
        <f t="shared" si="47"/>
        <v>350034404630.16553</v>
      </c>
      <c r="P235" s="4">
        <f t="shared" si="48"/>
        <v>-26252580347.262417</v>
      </c>
      <c r="Q235" s="4">
        <f t="shared" si="51"/>
        <v>33171832.459462643</v>
      </c>
      <c r="R235" s="4">
        <f t="shared" si="51"/>
        <v>4422910994.5950317</v>
      </c>
      <c r="S235" s="4">
        <f t="shared" si="51"/>
        <v>-331718324.59462738</v>
      </c>
      <c r="T235" s="3"/>
      <c r="U235" s="4">
        <f t="shared" si="49"/>
        <v>69193341.886666656</v>
      </c>
      <c r="V235">
        <f t="shared" si="50"/>
        <v>596589010693.60425</v>
      </c>
    </row>
    <row r="236" spans="1:22" x14ac:dyDescent="0.5">
      <c r="A236" s="3">
        <v>25</v>
      </c>
      <c r="B236" s="3">
        <v>0.97844643600000003</v>
      </c>
      <c r="C236" s="3">
        <v>5</v>
      </c>
      <c r="D236" s="3">
        <v>20</v>
      </c>
      <c r="E236" s="3">
        <v>0.06</v>
      </c>
      <c r="F236" s="3">
        <f t="shared" si="43"/>
        <v>2.8409000509219249</v>
      </c>
      <c r="G236" s="5">
        <v>0.4</v>
      </c>
      <c r="H236" s="4">
        <v>25000000</v>
      </c>
      <c r="I236" s="4">
        <f t="shared" si="53"/>
        <v>24461160.900000002</v>
      </c>
      <c r="J236" s="3">
        <v>210000000000</v>
      </c>
      <c r="K236" s="4">
        <f t="shared" si="54"/>
        <v>8.6390302122964155E-2</v>
      </c>
      <c r="L236" s="6">
        <f t="shared" si="44"/>
        <v>1.7278060424592832</v>
      </c>
      <c r="M236" s="4">
        <f t="shared" si="45"/>
        <v>25964124.594238218</v>
      </c>
      <c r="N236" s="4">
        <f t="shared" si="46"/>
        <v>2596412459.4238219</v>
      </c>
      <c r="O236" s="4">
        <f t="shared" si="47"/>
        <v>346188327923.17621</v>
      </c>
      <c r="P236" s="4">
        <f t="shared" si="48"/>
        <v>-25964124594.23822</v>
      </c>
      <c r="Q236" s="4">
        <f t="shared" si="51"/>
        <v>28845575.302419662</v>
      </c>
      <c r="R236" s="4">
        <f t="shared" si="51"/>
        <v>3846076706.9893188</v>
      </c>
      <c r="S236" s="4">
        <f t="shared" si="51"/>
        <v>-288455753.02419662</v>
      </c>
      <c r="T236" s="3"/>
      <c r="U236" s="4">
        <f t="shared" si="49"/>
        <v>68491250.519999996</v>
      </c>
      <c r="V236">
        <f t="shared" si="50"/>
        <v>596589010693.60425</v>
      </c>
    </row>
    <row r="237" spans="1:22" x14ac:dyDescent="0.5">
      <c r="A237" s="3">
        <v>25</v>
      </c>
      <c r="B237" s="3">
        <v>0.966709347</v>
      </c>
      <c r="C237" s="3">
        <v>5</v>
      </c>
      <c r="D237" s="3">
        <v>20</v>
      </c>
      <c r="E237" s="3">
        <v>0.06</v>
      </c>
      <c r="F237" s="3">
        <f t="shared" si="43"/>
        <v>2.8409000509219249</v>
      </c>
      <c r="G237" s="5">
        <v>0.4</v>
      </c>
      <c r="H237" s="4">
        <v>25000000</v>
      </c>
      <c r="I237" s="4">
        <f t="shared" si="53"/>
        <v>24167733.675000001</v>
      </c>
      <c r="J237" s="3">
        <v>210000000000</v>
      </c>
      <c r="K237" s="4">
        <f t="shared" si="54"/>
        <v>8.6390302122964155E-2</v>
      </c>
      <c r="L237" s="6">
        <f t="shared" si="44"/>
        <v>1.7278060424592832</v>
      </c>
      <c r="M237" s="4">
        <f t="shared" si="45"/>
        <v>25626882.940978453</v>
      </c>
      <c r="N237" s="4">
        <f t="shared" si="46"/>
        <v>2562688294.0978451</v>
      </c>
      <c r="O237" s="4">
        <f t="shared" si="47"/>
        <v>341691772546.37933</v>
      </c>
      <c r="P237" s="4">
        <f t="shared" si="48"/>
        <v>-25626882940.978451</v>
      </c>
      <c r="Q237" s="4">
        <f t="shared" si="51"/>
        <v>33724165.325976849</v>
      </c>
      <c r="R237" s="4">
        <f t="shared" si="51"/>
        <v>4496555376.796875</v>
      </c>
      <c r="S237" s="4">
        <f t="shared" si="51"/>
        <v>-337241653.25976944</v>
      </c>
      <c r="T237" s="3"/>
      <c r="U237" s="4">
        <f t="shared" si="49"/>
        <v>67669654.289999992</v>
      </c>
      <c r="V237">
        <f t="shared" si="50"/>
        <v>596589010693.60425</v>
      </c>
    </row>
    <row r="238" spans="1:22" x14ac:dyDescent="0.5">
      <c r="A238" s="3">
        <v>25</v>
      </c>
      <c r="B238" s="3">
        <v>0.95369184800000006</v>
      </c>
      <c r="C238" s="3">
        <v>5</v>
      </c>
      <c r="D238" s="3">
        <v>20</v>
      </c>
      <c r="E238" s="3">
        <v>0.06</v>
      </c>
      <c r="F238" s="3">
        <f t="shared" si="43"/>
        <v>2.8409000509219249</v>
      </c>
      <c r="G238" s="5">
        <v>0.4</v>
      </c>
      <c r="H238" s="4">
        <v>25000000</v>
      </c>
      <c r="I238" s="4">
        <f t="shared" si="53"/>
        <v>23842296.200000003</v>
      </c>
      <c r="J238" s="3">
        <v>210000000000</v>
      </c>
      <c r="K238" s="4">
        <f t="shared" si="54"/>
        <v>8.6390302122964155E-2</v>
      </c>
      <c r="L238" s="6">
        <f t="shared" si="44"/>
        <v>1.7278060424592832</v>
      </c>
      <c r="M238" s="4">
        <f t="shared" si="45"/>
        <v>25253250.328067776</v>
      </c>
      <c r="N238" s="4">
        <f t="shared" si="46"/>
        <v>2525325032.8067775</v>
      </c>
      <c r="O238" s="4">
        <f t="shared" si="47"/>
        <v>336710004374.237</v>
      </c>
      <c r="P238" s="4">
        <f t="shared" si="48"/>
        <v>-25253250328.067776</v>
      </c>
      <c r="Q238" s="4">
        <f t="shared" si="51"/>
        <v>37363261.2910676</v>
      </c>
      <c r="R238" s="4">
        <f t="shared" si="51"/>
        <v>4981768172.142334</v>
      </c>
      <c r="S238" s="4">
        <f t="shared" si="51"/>
        <v>-373632612.91067505</v>
      </c>
      <c r="T238" s="3"/>
      <c r="U238" s="4">
        <f t="shared" si="49"/>
        <v>66758429.360000007</v>
      </c>
      <c r="V238">
        <f t="shared" si="50"/>
        <v>596589010693.60425</v>
      </c>
    </row>
    <row r="239" spans="1:22" x14ac:dyDescent="0.5">
      <c r="A239" s="3">
        <v>25</v>
      </c>
      <c r="B239" s="3">
        <v>0.93875373466666667</v>
      </c>
      <c r="C239" s="3">
        <v>5</v>
      </c>
      <c r="D239" s="3">
        <v>20</v>
      </c>
      <c r="E239" s="3">
        <v>0.06</v>
      </c>
      <c r="F239" s="3">
        <f t="shared" si="43"/>
        <v>2.8409000509219249</v>
      </c>
      <c r="G239" s="5">
        <v>0.4</v>
      </c>
      <c r="H239" s="4">
        <v>25000000</v>
      </c>
      <c r="I239" s="4">
        <f t="shared" si="53"/>
        <v>23468843.366666667</v>
      </c>
      <c r="J239" s="3">
        <v>210000000000</v>
      </c>
      <c r="K239" s="4">
        <f t="shared" si="54"/>
        <v>8.6390302122964155E-2</v>
      </c>
      <c r="L239" s="6">
        <f t="shared" si="44"/>
        <v>1.7278060424592832</v>
      </c>
      <c r="M239" s="4">
        <f t="shared" si="45"/>
        <v>24825015.318150099</v>
      </c>
      <c r="N239" s="4">
        <f t="shared" si="46"/>
        <v>2482501531.8150101</v>
      </c>
      <c r="O239" s="4">
        <f t="shared" si="47"/>
        <v>331000204242.00134</v>
      </c>
      <c r="P239" s="4">
        <f t="shared" si="48"/>
        <v>-24825015318.150101</v>
      </c>
      <c r="Q239" s="4">
        <f t="shared" si="51"/>
        <v>42823500.991767406</v>
      </c>
      <c r="R239" s="4">
        <f t="shared" si="51"/>
        <v>5709800132.2356567</v>
      </c>
      <c r="S239" s="4">
        <f t="shared" si="51"/>
        <v>-428235009.91767502</v>
      </c>
      <c r="T239" s="3"/>
      <c r="U239" s="4">
        <f t="shared" si="49"/>
        <v>65712761.426666662</v>
      </c>
      <c r="V239">
        <f t="shared" si="50"/>
        <v>596589010693.60425</v>
      </c>
    </row>
    <row r="240" spans="1:22" x14ac:dyDescent="0.5">
      <c r="A240" s="3">
        <v>25</v>
      </c>
      <c r="B240" s="3">
        <v>0.92146820333333335</v>
      </c>
      <c r="C240" s="3">
        <v>5</v>
      </c>
      <c r="D240" s="3">
        <v>20</v>
      </c>
      <c r="E240" s="3">
        <v>0.06</v>
      </c>
      <c r="F240" s="3">
        <f t="shared" si="43"/>
        <v>2.8409000509219249</v>
      </c>
      <c r="G240" s="5">
        <v>0.4</v>
      </c>
      <c r="H240" s="4">
        <v>25000000</v>
      </c>
      <c r="I240" s="4">
        <f t="shared" si="53"/>
        <v>23036705.083333332</v>
      </c>
      <c r="J240" s="3">
        <v>210000000000</v>
      </c>
      <c r="K240" s="4">
        <f t="shared" si="54"/>
        <v>8.6390302122964155E-2</v>
      </c>
      <c r="L240" s="6">
        <f t="shared" si="44"/>
        <v>1.7278060424592832</v>
      </c>
      <c r="M240" s="4">
        <f t="shared" si="45"/>
        <v>24330195.06486078</v>
      </c>
      <c r="N240" s="4">
        <f t="shared" si="46"/>
        <v>2433019506.4860778</v>
      </c>
      <c r="O240" s="4">
        <f t="shared" si="47"/>
        <v>324402600864.81036</v>
      </c>
      <c r="P240" s="4">
        <f t="shared" si="48"/>
        <v>-24330195064.860779</v>
      </c>
      <c r="Q240" s="4">
        <f t="shared" si="51"/>
        <v>49482025.328932285</v>
      </c>
      <c r="R240" s="4">
        <f t="shared" si="51"/>
        <v>6597603377.190979</v>
      </c>
      <c r="S240" s="4">
        <f t="shared" si="51"/>
        <v>-494820253.2893219</v>
      </c>
      <c r="T240" s="3"/>
      <c r="U240" s="4">
        <f t="shared" si="49"/>
        <v>64502774.233333327</v>
      </c>
      <c r="V240">
        <f t="shared" si="50"/>
        <v>596589010693.60425</v>
      </c>
    </row>
    <row r="241" spans="1:22" x14ac:dyDescent="0.5">
      <c r="A241" s="3">
        <v>25</v>
      </c>
      <c r="B241" s="3">
        <v>0.901621852</v>
      </c>
      <c r="C241" s="3">
        <v>5</v>
      </c>
      <c r="D241" s="3">
        <v>20</v>
      </c>
      <c r="E241" s="3">
        <v>0.06</v>
      </c>
      <c r="F241" s="3">
        <f t="shared" si="43"/>
        <v>2.8409000509219249</v>
      </c>
      <c r="G241" s="5">
        <v>0.4</v>
      </c>
      <c r="H241" s="4">
        <v>25000000</v>
      </c>
      <c r="I241" s="4">
        <f t="shared" si="53"/>
        <v>22540546.300000001</v>
      </c>
      <c r="J241" s="3">
        <v>210000000000</v>
      </c>
      <c r="K241" s="4">
        <f t="shared" si="54"/>
        <v>8.6390302122964155E-2</v>
      </c>
      <c r="L241" s="6">
        <f t="shared" si="44"/>
        <v>1.7278060424592832</v>
      </c>
      <c r="M241" s="4">
        <f t="shared" si="45"/>
        <v>23763022.113561187</v>
      </c>
      <c r="N241" s="4">
        <f t="shared" si="46"/>
        <v>2376302211.3561187</v>
      </c>
      <c r="O241" s="4">
        <f t="shared" si="47"/>
        <v>316840294847.48248</v>
      </c>
      <c r="P241" s="4">
        <f t="shared" si="48"/>
        <v>-23763022113.561188</v>
      </c>
      <c r="Q241" s="4">
        <f t="shared" si="51"/>
        <v>56717295.129959106</v>
      </c>
      <c r="R241" s="4">
        <f t="shared" si="51"/>
        <v>7562306017.3278809</v>
      </c>
      <c r="S241" s="4">
        <f t="shared" si="51"/>
        <v>-567172951.29959106</v>
      </c>
      <c r="T241" s="3"/>
      <c r="U241" s="4">
        <f t="shared" si="49"/>
        <v>63113529.640000001</v>
      </c>
      <c r="V241">
        <f t="shared" si="50"/>
        <v>596589010693.60425</v>
      </c>
    </row>
    <row r="242" spans="1:22" x14ac:dyDescent="0.5">
      <c r="A242" s="3">
        <v>25</v>
      </c>
      <c r="B242" s="3">
        <v>0.87878787833333338</v>
      </c>
      <c r="C242" s="3">
        <v>5</v>
      </c>
      <c r="D242" s="3">
        <v>20</v>
      </c>
      <c r="E242" s="3">
        <v>0.06</v>
      </c>
      <c r="F242" s="3">
        <f t="shared" si="43"/>
        <v>2.8409000509219249</v>
      </c>
      <c r="G242" s="5">
        <v>0.4</v>
      </c>
      <c r="H242" s="4">
        <v>25000000</v>
      </c>
      <c r="I242" s="4">
        <f t="shared" si="53"/>
        <v>21969696.958333336</v>
      </c>
      <c r="J242" s="3">
        <v>210000000000</v>
      </c>
      <c r="K242" s="4">
        <f t="shared" si="54"/>
        <v>8.6390302122964155E-2</v>
      </c>
      <c r="L242" s="6">
        <f t="shared" si="44"/>
        <v>1.7278060424592832</v>
      </c>
      <c r="M242" s="4">
        <f t="shared" si="45"/>
        <v>23111755.626978409</v>
      </c>
      <c r="N242" s="4">
        <f t="shared" si="46"/>
        <v>2311175562.6978407</v>
      </c>
      <c r="O242" s="4">
        <f t="shared" si="47"/>
        <v>308156741693.04547</v>
      </c>
      <c r="P242" s="4">
        <f t="shared" si="48"/>
        <v>-23111755626.978409</v>
      </c>
      <c r="Q242" s="4">
        <f t="shared" si="51"/>
        <v>65126648.658277988</v>
      </c>
      <c r="R242" s="4">
        <f t="shared" si="51"/>
        <v>8683553154.4370117</v>
      </c>
      <c r="S242" s="4">
        <f t="shared" si="51"/>
        <v>-651266486.58277893</v>
      </c>
      <c r="T242" s="3"/>
      <c r="U242" s="4">
        <f t="shared" si="49"/>
        <v>61515151.483333334</v>
      </c>
      <c r="V242">
        <f t="shared" si="50"/>
        <v>596589010693.60425</v>
      </c>
    </row>
    <row r="243" spans="1:22" x14ac:dyDescent="0.5">
      <c r="A243" s="3">
        <v>25</v>
      </c>
      <c r="B243" s="3">
        <v>0.84933845466666669</v>
      </c>
      <c r="C243" s="3">
        <v>5</v>
      </c>
      <c r="D243" s="3">
        <v>20</v>
      </c>
      <c r="E243" s="3">
        <v>0.06</v>
      </c>
      <c r="F243" s="3">
        <f t="shared" si="43"/>
        <v>2.8409000509219249</v>
      </c>
      <c r="G243" s="5">
        <v>0.4</v>
      </c>
      <c r="H243" s="4">
        <v>25000000</v>
      </c>
      <c r="I243" s="4">
        <f t="shared" si="53"/>
        <v>21233461.366666667</v>
      </c>
      <c r="J243" s="3">
        <v>210000000000</v>
      </c>
      <c r="K243" s="4">
        <f t="shared" si="54"/>
        <v>8.6390302122964155E-2</v>
      </c>
      <c r="L243" s="6">
        <f t="shared" si="44"/>
        <v>1.7278060424592832</v>
      </c>
      <c r="M243" s="4">
        <f t="shared" si="45"/>
        <v>22273889.501855824</v>
      </c>
      <c r="N243" s="4">
        <f t="shared" si="46"/>
        <v>2227388950.1855822</v>
      </c>
      <c r="O243" s="4">
        <f t="shared" si="47"/>
        <v>296985193358.07764</v>
      </c>
      <c r="P243" s="4">
        <f t="shared" si="48"/>
        <v>-22273889501.855824</v>
      </c>
      <c r="Q243" s="4">
        <f t="shared" si="51"/>
        <v>83786612.51225853</v>
      </c>
      <c r="R243" s="4">
        <f t="shared" si="51"/>
        <v>11171548334.967834</v>
      </c>
      <c r="S243" s="4">
        <f t="shared" si="51"/>
        <v>-837866125.1225853</v>
      </c>
      <c r="T243" s="3"/>
      <c r="U243" s="4">
        <f t="shared" si="49"/>
        <v>59453691.826666661</v>
      </c>
      <c r="V243">
        <f t="shared" si="50"/>
        <v>596589010693.60425</v>
      </c>
    </row>
    <row r="244" spans="1:22" x14ac:dyDescent="0.5">
      <c r="A244" s="3">
        <v>25</v>
      </c>
      <c r="B244" s="3">
        <v>0.82010243266666671</v>
      </c>
      <c r="C244" s="3">
        <v>5</v>
      </c>
      <c r="D244" s="3">
        <v>20</v>
      </c>
      <c r="E244" s="3">
        <v>0.06</v>
      </c>
      <c r="F244" s="3">
        <f t="shared" si="43"/>
        <v>2.8409000509219249</v>
      </c>
      <c r="G244" s="5">
        <v>0.4</v>
      </c>
      <c r="H244" s="4">
        <v>25000000</v>
      </c>
      <c r="I244" s="4">
        <f t="shared" si="53"/>
        <v>20502560.816666666</v>
      </c>
      <c r="J244" s="3">
        <v>210000000000</v>
      </c>
      <c r="K244" s="4">
        <f t="shared" si="54"/>
        <v>8.6390302122964155E-2</v>
      </c>
      <c r="L244" s="6">
        <f t="shared" si="44"/>
        <v>1.7278060424592832</v>
      </c>
      <c r="M244" s="4">
        <f t="shared" si="45"/>
        <v>21444486.405928031</v>
      </c>
      <c r="N244" s="4">
        <f t="shared" si="46"/>
        <v>2144448640.592803</v>
      </c>
      <c r="O244" s="4">
        <f t="shared" si="47"/>
        <v>285926485412.37372</v>
      </c>
      <c r="P244" s="4">
        <f t="shared" si="48"/>
        <v>-21444486405.928032</v>
      </c>
      <c r="Q244" s="4">
        <f t="shared" si="51"/>
        <v>82940309.59277916</v>
      </c>
      <c r="R244" s="4">
        <f t="shared" si="51"/>
        <v>11058707945.703918</v>
      </c>
      <c r="S244" s="4">
        <f t="shared" si="51"/>
        <v>-829403095.9277916</v>
      </c>
      <c r="T244" s="3"/>
      <c r="U244" s="4">
        <f t="shared" si="49"/>
        <v>57407170.286666662</v>
      </c>
      <c r="V244">
        <f t="shared" si="50"/>
        <v>596589010693.60425</v>
      </c>
    </row>
    <row r="245" spans="1:22" x14ac:dyDescent="0.5">
      <c r="A245" s="3">
        <v>25</v>
      </c>
      <c r="B245" s="3">
        <v>0.78958600133333334</v>
      </c>
      <c r="C245" s="3">
        <v>5</v>
      </c>
      <c r="D245" s="3">
        <v>20</v>
      </c>
      <c r="E245" s="3">
        <v>0.06</v>
      </c>
      <c r="F245" s="3">
        <f t="shared" si="43"/>
        <v>2.8409000509219249</v>
      </c>
      <c r="G245" s="5">
        <v>0.4</v>
      </c>
      <c r="H245" s="4">
        <v>25000000</v>
      </c>
      <c r="I245" s="4">
        <f t="shared" si="53"/>
        <v>19739650.033333335</v>
      </c>
      <c r="J245" s="3">
        <v>210000000000</v>
      </c>
      <c r="K245" s="4">
        <f t="shared" si="54"/>
        <v>8.6390302122964155E-2</v>
      </c>
      <c r="L245" s="6">
        <f t="shared" si="44"/>
        <v>1.7278060424592832</v>
      </c>
      <c r="M245" s="4">
        <f t="shared" si="45"/>
        <v>20581385.199834909</v>
      </c>
      <c r="N245" s="4">
        <f t="shared" si="46"/>
        <v>2058138519.9834909</v>
      </c>
      <c r="O245" s="4">
        <f t="shared" si="47"/>
        <v>274418469331.13211</v>
      </c>
      <c r="P245" s="4">
        <f t="shared" si="48"/>
        <v>-20581385199.834911</v>
      </c>
      <c r="Q245" s="4">
        <f t="shared" si="51"/>
        <v>86310120.609312057</v>
      </c>
      <c r="R245" s="4">
        <f t="shared" si="51"/>
        <v>11508016081.241608</v>
      </c>
      <c r="S245" s="4">
        <f t="shared" si="51"/>
        <v>-863101206.09312057</v>
      </c>
      <c r="T245" s="3"/>
      <c r="U245" s="4">
        <f t="shared" si="49"/>
        <v>55271020.093333334</v>
      </c>
      <c r="V245">
        <f t="shared" si="50"/>
        <v>596589010693.60425</v>
      </c>
    </row>
    <row r="246" spans="1:22" x14ac:dyDescent="0.5">
      <c r="A246" s="3">
        <v>25</v>
      </c>
      <c r="B246" s="3">
        <v>0.75565514266666667</v>
      </c>
      <c r="C246" s="3">
        <v>5</v>
      </c>
      <c r="D246" s="3">
        <v>20</v>
      </c>
      <c r="E246" s="3">
        <v>0.06</v>
      </c>
      <c r="F246" s="3">
        <f t="shared" si="43"/>
        <v>2.8409000509219249</v>
      </c>
      <c r="G246" s="5">
        <v>0.4</v>
      </c>
      <c r="H246" s="4">
        <v>25000000</v>
      </c>
      <c r="I246" s="4">
        <f t="shared" si="53"/>
        <v>18891378.566666666</v>
      </c>
      <c r="J246" s="3">
        <v>210000000000</v>
      </c>
      <c r="K246" s="4">
        <f t="shared" si="54"/>
        <v>8.6390302122964155E-2</v>
      </c>
      <c r="L246" s="6">
        <f t="shared" si="44"/>
        <v>1.7278060424592832</v>
      </c>
      <c r="M246" s="4">
        <f t="shared" si="45"/>
        <v>19624976.862672441</v>
      </c>
      <c r="N246" s="4">
        <f t="shared" si="46"/>
        <v>1962497686.2672443</v>
      </c>
      <c r="O246" s="4">
        <f t="shared" si="47"/>
        <v>261666358168.96591</v>
      </c>
      <c r="P246" s="4">
        <f t="shared" si="48"/>
        <v>-19624976862.672443</v>
      </c>
      <c r="Q246" s="4">
        <f t="shared" si="51"/>
        <v>95640833.716246605</v>
      </c>
      <c r="R246" s="4">
        <f t="shared" si="51"/>
        <v>12752111162.166199</v>
      </c>
      <c r="S246" s="4">
        <f t="shared" si="51"/>
        <v>-956408337.16246796</v>
      </c>
      <c r="T246" s="3"/>
      <c r="U246" s="4">
        <f t="shared" si="49"/>
        <v>52895859.986666664</v>
      </c>
      <c r="V246">
        <f t="shared" si="50"/>
        <v>596589010693.60425</v>
      </c>
    </row>
    <row r="247" spans="1:22" x14ac:dyDescent="0.5">
      <c r="A247" s="3">
        <v>25</v>
      </c>
      <c r="B247" s="3">
        <v>0.71724285099999996</v>
      </c>
      <c r="C247" s="3">
        <v>5</v>
      </c>
      <c r="D247" s="3">
        <v>20</v>
      </c>
      <c r="E247" s="3">
        <v>0.06</v>
      </c>
      <c r="F247" s="3">
        <f t="shared" si="43"/>
        <v>2.8409000509219249</v>
      </c>
      <c r="G247" s="5">
        <v>0.4</v>
      </c>
      <c r="H247" s="4">
        <v>25000000</v>
      </c>
      <c r="I247" s="4">
        <f t="shared" si="53"/>
        <v>17931071.274999999</v>
      </c>
      <c r="J247" s="3">
        <v>210000000000</v>
      </c>
      <c r="K247" s="4">
        <f t="shared" si="54"/>
        <v>8.6390302122964155E-2</v>
      </c>
      <c r="L247" s="6">
        <f t="shared" si="44"/>
        <v>1.7278060424592832</v>
      </c>
      <c r="M247" s="4">
        <f t="shared" si="45"/>
        <v>18546570.785626266</v>
      </c>
      <c r="N247" s="4">
        <f t="shared" si="46"/>
        <v>1854657078.5626266</v>
      </c>
      <c r="O247" s="4">
        <f t="shared" si="47"/>
        <v>247287610475.01688</v>
      </c>
      <c r="P247" s="4">
        <f t="shared" si="48"/>
        <v>-18546570785.626266</v>
      </c>
      <c r="Q247" s="4">
        <f t="shared" si="51"/>
        <v>107840607.70461774</v>
      </c>
      <c r="R247" s="4">
        <f t="shared" si="51"/>
        <v>14378747693.949036</v>
      </c>
      <c r="S247" s="4">
        <f t="shared" si="51"/>
        <v>-1078406077.0461769</v>
      </c>
      <c r="T247" s="3"/>
      <c r="U247" s="4">
        <f t="shared" si="49"/>
        <v>50206999.569999993</v>
      </c>
      <c r="V247">
        <f t="shared" si="50"/>
        <v>596589010693.60425</v>
      </c>
    </row>
    <row r="248" spans="1:22" x14ac:dyDescent="0.5">
      <c r="A248" s="3">
        <v>25</v>
      </c>
      <c r="B248" s="3">
        <v>0.67712334600000001</v>
      </c>
      <c r="C248" s="3">
        <v>5</v>
      </c>
      <c r="D248" s="3">
        <v>20</v>
      </c>
      <c r="E248" s="3">
        <v>0.06</v>
      </c>
      <c r="F248" s="3">
        <f t="shared" si="43"/>
        <v>2.8409000509219249</v>
      </c>
      <c r="G248" s="5">
        <v>0.4</v>
      </c>
      <c r="H248" s="4">
        <v>25000000</v>
      </c>
      <c r="I248" s="4">
        <f t="shared" si="53"/>
        <v>16928083.649999999</v>
      </c>
      <c r="J248" s="3">
        <v>210000000000</v>
      </c>
      <c r="K248" s="4">
        <f t="shared" si="54"/>
        <v>8.6390302122964155E-2</v>
      </c>
      <c r="L248" s="6">
        <f t="shared" si="44"/>
        <v>1.7278060424592832</v>
      </c>
      <c r="M248" s="4">
        <f t="shared" si="45"/>
        <v>17425368.764025085</v>
      </c>
      <c r="N248" s="4">
        <f t="shared" si="46"/>
        <v>1742536876.4025087</v>
      </c>
      <c r="O248" s="4">
        <f t="shared" si="47"/>
        <v>232338250187.00113</v>
      </c>
      <c r="P248" s="4">
        <f t="shared" si="48"/>
        <v>-17425368764.025085</v>
      </c>
      <c r="Q248" s="4">
        <f t="shared" si="51"/>
        <v>112120202.16011786</v>
      </c>
      <c r="R248" s="4">
        <f t="shared" si="51"/>
        <v>14949360288.015747</v>
      </c>
      <c r="S248" s="4">
        <f t="shared" si="51"/>
        <v>-1121202021.601181</v>
      </c>
      <c r="T248" s="3"/>
      <c r="U248" s="4">
        <f t="shared" si="49"/>
        <v>47398634.219999991</v>
      </c>
      <c r="V248">
        <f t="shared" si="50"/>
        <v>596589010693.60425</v>
      </c>
    </row>
    <row r="249" spans="1:22" x14ac:dyDescent="0.5">
      <c r="A249" s="3">
        <v>25</v>
      </c>
      <c r="B249" s="3">
        <v>0.63294921033333329</v>
      </c>
      <c r="C249" s="3">
        <v>5</v>
      </c>
      <c r="D249" s="3">
        <v>20</v>
      </c>
      <c r="E249" s="3">
        <v>0.06</v>
      </c>
      <c r="F249" s="3">
        <f t="shared" si="43"/>
        <v>2.8409000509219249</v>
      </c>
      <c r="G249" s="5">
        <v>0.4</v>
      </c>
      <c r="H249" s="4">
        <v>25000000</v>
      </c>
      <c r="I249" s="4">
        <f t="shared" si="53"/>
        <v>15823730.258333333</v>
      </c>
      <c r="J249" s="3">
        <v>210000000000</v>
      </c>
      <c r="K249" s="4">
        <f t="shared" si="54"/>
        <v>8.6390302122964155E-2</v>
      </c>
      <c r="L249" s="6">
        <f t="shared" si="44"/>
        <v>1.7278060424592832</v>
      </c>
      <c r="M249" s="4">
        <f t="shared" si="45"/>
        <v>16197257.07384936</v>
      </c>
      <c r="N249" s="4">
        <f t="shared" si="46"/>
        <v>1619725707.3849359</v>
      </c>
      <c r="O249" s="4">
        <f t="shared" si="47"/>
        <v>215963427651.3248</v>
      </c>
      <c r="P249" s="4">
        <f t="shared" si="48"/>
        <v>-16197257073.84936</v>
      </c>
      <c r="Q249" s="4">
        <f t="shared" si="51"/>
        <v>122811169.01757288</v>
      </c>
      <c r="R249" s="4">
        <f t="shared" si="51"/>
        <v>16374822535.676331</v>
      </c>
      <c r="S249" s="4">
        <f t="shared" si="51"/>
        <v>-1228111690.1757259</v>
      </c>
      <c r="T249" s="3"/>
      <c r="U249" s="4">
        <f t="shared" si="49"/>
        <v>44306444.723333329</v>
      </c>
      <c r="V249">
        <f t="shared" si="50"/>
        <v>596589010693.60425</v>
      </c>
    </row>
    <row r="250" spans="1:22" x14ac:dyDescent="0.5">
      <c r="A250" s="3">
        <v>25</v>
      </c>
      <c r="B250" s="3">
        <v>0.58834827133333334</v>
      </c>
      <c r="C250" s="3">
        <v>5</v>
      </c>
      <c r="D250" s="3">
        <v>20</v>
      </c>
      <c r="E250" s="3">
        <v>0.06</v>
      </c>
      <c r="F250" s="3">
        <f t="shared" si="43"/>
        <v>2.8409000509219249</v>
      </c>
      <c r="G250" s="5">
        <v>0.4</v>
      </c>
      <c r="H250" s="4">
        <v>25000000</v>
      </c>
      <c r="I250" s="4">
        <f t="shared" si="53"/>
        <v>14708706.783333333</v>
      </c>
      <c r="J250" s="3">
        <v>210000000000</v>
      </c>
      <c r="K250" s="4">
        <f t="shared" si="54"/>
        <v>8.6390302122964155E-2</v>
      </c>
      <c r="L250" s="6">
        <f t="shared" si="44"/>
        <v>1.7278060424592832</v>
      </c>
      <c r="M250" s="4">
        <f t="shared" si="45"/>
        <v>14964512.135749519</v>
      </c>
      <c r="N250" s="4">
        <f t="shared" si="46"/>
        <v>1496451213.5749519</v>
      </c>
      <c r="O250" s="4">
        <f t="shared" si="47"/>
        <v>199526828476.66025</v>
      </c>
      <c r="P250" s="4">
        <f t="shared" si="48"/>
        <v>-14964512135.749519</v>
      </c>
      <c r="Q250" s="4">
        <f t="shared" si="51"/>
        <v>123274493.80998397</v>
      </c>
      <c r="R250" s="4">
        <f t="shared" si="51"/>
        <v>16436599174.664551</v>
      </c>
      <c r="S250" s="4">
        <f t="shared" si="51"/>
        <v>-1232744938.0998402</v>
      </c>
      <c r="T250" s="3"/>
      <c r="U250" s="4">
        <f t="shared" si="49"/>
        <v>41184378.993333332</v>
      </c>
      <c r="V250">
        <f t="shared" si="50"/>
        <v>596589010693.60425</v>
      </c>
    </row>
    <row r="251" spans="1:22" x14ac:dyDescent="0.5">
      <c r="A251" s="3">
        <v>25</v>
      </c>
      <c r="B251" s="3">
        <v>0.54268032433333335</v>
      </c>
      <c r="C251" s="3">
        <v>5</v>
      </c>
      <c r="D251" s="3">
        <v>20</v>
      </c>
      <c r="E251" s="3">
        <v>0.06</v>
      </c>
      <c r="F251" s="3">
        <f t="shared" si="43"/>
        <v>2.8409000509219249</v>
      </c>
      <c r="G251" s="5">
        <v>0.4</v>
      </c>
      <c r="H251" s="4">
        <v>25000000</v>
      </c>
      <c r="I251" s="4">
        <f t="shared" si="53"/>
        <v>13567008.108333334</v>
      </c>
      <c r="J251" s="3">
        <v>210000000000</v>
      </c>
      <c r="K251" s="4">
        <f t="shared" si="54"/>
        <v>8.6390302122964155E-2</v>
      </c>
      <c r="L251" s="6">
        <f t="shared" si="44"/>
        <v>1.7278060424592832</v>
      </c>
      <c r="M251" s="4">
        <f t="shared" si="45"/>
        <v>13710331.524347715</v>
      </c>
      <c r="N251" s="4">
        <f t="shared" si="46"/>
        <v>1371033152.4347715</v>
      </c>
      <c r="O251" s="4">
        <f t="shared" si="47"/>
        <v>182804420324.63623</v>
      </c>
      <c r="P251" s="4">
        <f t="shared" si="48"/>
        <v>-13710331524.347717</v>
      </c>
      <c r="Q251" s="4">
        <f t="shared" si="51"/>
        <v>125418061.14018035</v>
      </c>
      <c r="R251" s="4">
        <f t="shared" si="51"/>
        <v>16722408152.024017</v>
      </c>
      <c r="S251" s="4">
        <f t="shared" si="51"/>
        <v>-1254180611.4018021</v>
      </c>
      <c r="T251" s="3"/>
      <c r="U251" s="4">
        <f t="shared" si="49"/>
        <v>37987622.703333333</v>
      </c>
      <c r="V251">
        <f t="shared" si="50"/>
        <v>596589010693.60425</v>
      </c>
    </row>
    <row r="252" spans="1:22" x14ac:dyDescent="0.5">
      <c r="A252" s="3">
        <v>25</v>
      </c>
      <c r="B252" s="3">
        <v>0.49957319666666666</v>
      </c>
      <c r="C252" s="3">
        <v>5</v>
      </c>
      <c r="D252" s="3">
        <v>20</v>
      </c>
      <c r="E252" s="3">
        <v>0.06</v>
      </c>
      <c r="F252" s="3">
        <f t="shared" si="43"/>
        <v>2.8409000509219249</v>
      </c>
      <c r="G252" s="5">
        <v>0.4</v>
      </c>
      <c r="H252" s="4">
        <v>25000000</v>
      </c>
      <c r="I252" s="4">
        <f t="shared" si="53"/>
        <v>12489329.916666666</v>
      </c>
      <c r="J252" s="3">
        <v>210000000000</v>
      </c>
      <c r="K252" s="4">
        <f t="shared" si="54"/>
        <v>8.6390302122964155E-2</v>
      </c>
      <c r="L252" s="6">
        <f t="shared" si="44"/>
        <v>1.7278060424592832</v>
      </c>
      <c r="M252" s="4">
        <f t="shared" si="45"/>
        <v>12534516.826839997</v>
      </c>
      <c r="N252" s="4">
        <f t="shared" si="46"/>
        <v>1253451682.6839998</v>
      </c>
      <c r="O252" s="4">
        <f t="shared" si="47"/>
        <v>167126891024.53329</v>
      </c>
      <c r="P252" s="4">
        <f t="shared" si="48"/>
        <v>-12534516826.839996</v>
      </c>
      <c r="Q252" s="4">
        <f t="shared" si="51"/>
        <v>117581469.75077176</v>
      </c>
      <c r="R252" s="4">
        <f t="shared" si="51"/>
        <v>15677529300.102936</v>
      </c>
      <c r="S252" s="4">
        <f t="shared" si="51"/>
        <v>-1175814697.5077209</v>
      </c>
      <c r="T252" s="3"/>
      <c r="U252" s="4">
        <f t="shared" si="49"/>
        <v>34970123.766666666</v>
      </c>
      <c r="V252">
        <f t="shared" si="50"/>
        <v>596589010693.60425</v>
      </c>
    </row>
    <row r="253" spans="1:22" x14ac:dyDescent="0.5">
      <c r="A253" s="3">
        <v>25</v>
      </c>
      <c r="B253" s="3">
        <v>0.45582586433333333</v>
      </c>
      <c r="C253" s="3">
        <v>5</v>
      </c>
      <c r="D253" s="3">
        <v>20</v>
      </c>
      <c r="E253" s="3">
        <v>0.06</v>
      </c>
      <c r="F253" s="3">
        <f t="shared" si="43"/>
        <v>2.8409000509219249</v>
      </c>
      <c r="G253" s="5">
        <v>0.4</v>
      </c>
      <c r="H253" s="4">
        <v>25000000</v>
      </c>
      <c r="I253" s="4">
        <f t="shared" si="53"/>
        <v>11395646.608333332</v>
      </c>
      <c r="J253" s="3">
        <v>210000000000</v>
      </c>
      <c r="K253" s="4">
        <f t="shared" si="54"/>
        <v>8.6390302122964155E-2</v>
      </c>
      <c r="L253" s="6">
        <f t="shared" si="44"/>
        <v>1.7278060424592832</v>
      </c>
      <c r="M253" s="4">
        <f t="shared" si="45"/>
        <v>11349866.467845537</v>
      </c>
      <c r="N253" s="4">
        <f t="shared" si="46"/>
        <v>1134986646.7845538</v>
      </c>
      <c r="O253" s="4">
        <f t="shared" si="47"/>
        <v>151331552904.60715</v>
      </c>
      <c r="P253" s="4">
        <f t="shared" si="48"/>
        <v>-11349866467.845537</v>
      </c>
      <c r="Q253" s="4">
        <f t="shared" si="51"/>
        <v>118465035.89944601</v>
      </c>
      <c r="R253" s="4">
        <f t="shared" si="51"/>
        <v>15795338119.926147</v>
      </c>
      <c r="S253" s="4">
        <f t="shared" si="51"/>
        <v>-1184650358.9944592</v>
      </c>
      <c r="T253" s="3"/>
      <c r="U253" s="4">
        <f t="shared" si="49"/>
        <v>31907810.50333333</v>
      </c>
      <c r="V253">
        <f t="shared" si="50"/>
        <v>596589010693.60425</v>
      </c>
    </row>
    <row r="254" spans="1:22" x14ac:dyDescent="0.5">
      <c r="A254" s="3">
        <v>25</v>
      </c>
      <c r="B254" s="3">
        <v>0.41314553999999998</v>
      </c>
      <c r="C254" s="3">
        <v>5</v>
      </c>
      <c r="D254" s="3">
        <v>20</v>
      </c>
      <c r="E254" s="3">
        <v>0.06</v>
      </c>
      <c r="F254" s="3">
        <f t="shared" si="43"/>
        <v>2.8409000509219249</v>
      </c>
      <c r="G254" s="5">
        <v>0.4</v>
      </c>
      <c r="H254" s="4">
        <v>25000000</v>
      </c>
      <c r="I254" s="4">
        <f t="shared" si="53"/>
        <v>10328638.5</v>
      </c>
      <c r="J254" s="3">
        <v>210000000000</v>
      </c>
      <c r="K254" s="4">
        <f t="shared" si="54"/>
        <v>8.6390302122964155E-2</v>
      </c>
      <c r="L254" s="6">
        <f t="shared" si="44"/>
        <v>1.7278060424592832</v>
      </c>
      <c r="M254" s="4">
        <f t="shared" si="45"/>
        <v>10203210.943066226</v>
      </c>
      <c r="N254" s="4">
        <f t="shared" si="46"/>
        <v>1020321094.3066226</v>
      </c>
      <c r="O254" s="4">
        <f t="shared" si="47"/>
        <v>136042812574.21635</v>
      </c>
      <c r="P254" s="4">
        <f t="shared" si="48"/>
        <v>-10203210943.066225</v>
      </c>
      <c r="Q254" s="4">
        <f t="shared" si="51"/>
        <v>114665552.47793114</v>
      </c>
      <c r="R254" s="4">
        <f t="shared" si="51"/>
        <v>15288740330.390793</v>
      </c>
      <c r="S254" s="4">
        <f t="shared" si="51"/>
        <v>-1146655524.7793121</v>
      </c>
      <c r="T254" s="3"/>
      <c r="U254" s="4">
        <f t="shared" si="49"/>
        <v>28920187.799999997</v>
      </c>
      <c r="V254">
        <f t="shared" si="50"/>
        <v>596589010693.60425</v>
      </c>
    </row>
    <row r="255" spans="1:22" x14ac:dyDescent="0.5">
      <c r="A255" s="3">
        <v>25</v>
      </c>
      <c r="B255" s="3">
        <v>0.37217242866666667</v>
      </c>
      <c r="C255" s="3">
        <v>5</v>
      </c>
      <c r="D255" s="3">
        <v>20</v>
      </c>
      <c r="E255" s="3">
        <v>0.06</v>
      </c>
      <c r="F255" s="3">
        <f t="shared" si="43"/>
        <v>2.8409000509219249</v>
      </c>
      <c r="G255" s="5">
        <v>0.4</v>
      </c>
      <c r="H255" s="4">
        <v>25000000</v>
      </c>
      <c r="I255" s="4">
        <f t="shared" si="53"/>
        <v>9304310.7166666668</v>
      </c>
      <c r="J255" s="3">
        <v>210000000000</v>
      </c>
      <c r="K255" s="4">
        <f t="shared" si="54"/>
        <v>8.6390302122964155E-2</v>
      </c>
      <c r="L255" s="6">
        <f t="shared" si="44"/>
        <v>1.7278060424592832</v>
      </c>
      <c r="M255" s="4">
        <f t="shared" si="45"/>
        <v>9111672.1972026918</v>
      </c>
      <c r="N255" s="4">
        <f t="shared" si="46"/>
        <v>911167219.7202692</v>
      </c>
      <c r="O255" s="4">
        <f t="shared" si="47"/>
        <v>121488962629.36922</v>
      </c>
      <c r="P255" s="4">
        <f t="shared" si="48"/>
        <v>-9111672197.202692</v>
      </c>
      <c r="Q255" s="4">
        <f t="shared" si="51"/>
        <v>109153874.58635342</v>
      </c>
      <c r="R255" s="4">
        <f t="shared" si="51"/>
        <v>14553849944.847137</v>
      </c>
      <c r="S255" s="4">
        <f t="shared" si="51"/>
        <v>-1091538745.863533</v>
      </c>
      <c r="T255" s="3"/>
      <c r="U255" s="4">
        <f t="shared" si="49"/>
        <v>26052070.006666664</v>
      </c>
      <c r="V255">
        <f t="shared" si="50"/>
        <v>596589010693.60425</v>
      </c>
    </row>
    <row r="256" spans="1:22" x14ac:dyDescent="0.5">
      <c r="A256" s="3">
        <v>25</v>
      </c>
      <c r="B256" s="3">
        <v>0.33440034166666666</v>
      </c>
      <c r="C256" s="3">
        <v>5</v>
      </c>
      <c r="D256" s="3">
        <v>20</v>
      </c>
      <c r="E256" s="3">
        <v>0.06</v>
      </c>
      <c r="F256" s="3">
        <f t="shared" si="43"/>
        <v>2.8409000509219249</v>
      </c>
      <c r="G256" s="5">
        <v>0.4</v>
      </c>
      <c r="H256" s="4">
        <v>25000000</v>
      </c>
      <c r="I256" s="4">
        <f t="shared" si="53"/>
        <v>8360008.541666666</v>
      </c>
      <c r="J256" s="3">
        <v>210000000000</v>
      </c>
      <c r="K256" s="4">
        <f t="shared" si="54"/>
        <v>8.6390302122964155E-2</v>
      </c>
      <c r="L256" s="6">
        <f t="shared" si="44"/>
        <v>1.7278060424592832</v>
      </c>
      <c r="M256" s="4">
        <f t="shared" si="45"/>
        <v>8114233.0957110627</v>
      </c>
      <c r="N256" s="4">
        <f t="shared" si="46"/>
        <v>811423309.57110631</v>
      </c>
      <c r="O256" s="4">
        <f t="shared" si="47"/>
        <v>108189774609.48083</v>
      </c>
      <c r="P256" s="4">
        <f t="shared" si="48"/>
        <v>-8114233095.7110624</v>
      </c>
      <c r="Q256" s="4">
        <f t="shared" si="51"/>
        <v>99743910.149162889</v>
      </c>
      <c r="R256" s="4">
        <f t="shared" si="51"/>
        <v>13299188019.888382</v>
      </c>
      <c r="S256" s="4">
        <f t="shared" si="51"/>
        <v>-997439101.4916296</v>
      </c>
      <c r="T256" s="3"/>
      <c r="U256" s="4">
        <f t="shared" si="49"/>
        <v>23408023.916666664</v>
      </c>
      <c r="V256">
        <f t="shared" si="50"/>
        <v>596589010693.60425</v>
      </c>
    </row>
    <row r="257" spans="1:22" x14ac:dyDescent="0.5">
      <c r="A257" s="3">
        <v>25</v>
      </c>
      <c r="B257" s="3">
        <v>0.29641485266666667</v>
      </c>
      <c r="C257" s="3">
        <v>5</v>
      </c>
      <c r="D257" s="3">
        <v>20</v>
      </c>
      <c r="E257" s="3">
        <v>0.06</v>
      </c>
      <c r="F257" s="3">
        <f t="shared" si="43"/>
        <v>2.8409000509219249</v>
      </c>
      <c r="G257" s="5">
        <v>0.4</v>
      </c>
      <c r="H257" s="4">
        <v>25000000</v>
      </c>
      <c r="I257" s="4">
        <f t="shared" si="53"/>
        <v>7410371.3166666664</v>
      </c>
      <c r="J257" s="3">
        <v>210000000000</v>
      </c>
      <c r="K257" s="4">
        <f t="shared" si="54"/>
        <v>8.6390302122964155E-2</v>
      </c>
      <c r="L257" s="6">
        <f t="shared" si="44"/>
        <v>1.7278060424592832</v>
      </c>
      <c r="M257" s="4">
        <f t="shared" si="45"/>
        <v>7120603.9743981743</v>
      </c>
      <c r="N257" s="4">
        <f t="shared" si="46"/>
        <v>712060397.43981743</v>
      </c>
      <c r="O257" s="4">
        <f t="shared" si="47"/>
        <v>94941386325.309006</v>
      </c>
      <c r="P257" s="4">
        <f t="shared" si="48"/>
        <v>-7120603974.3981752</v>
      </c>
      <c r="Q257" s="4">
        <f t="shared" si="51"/>
        <v>99362912.131288886</v>
      </c>
      <c r="R257" s="4">
        <f t="shared" si="51"/>
        <v>13248388284.171829</v>
      </c>
      <c r="S257" s="4">
        <f t="shared" si="51"/>
        <v>-993629121.31288719</v>
      </c>
      <c r="T257" s="3"/>
      <c r="U257" s="4">
        <f t="shared" si="49"/>
        <v>20749039.686666664</v>
      </c>
      <c r="V257">
        <f t="shared" si="50"/>
        <v>596589010693.60425</v>
      </c>
    </row>
    <row r="258" spans="1:22" x14ac:dyDescent="0.5">
      <c r="A258" s="3">
        <v>25</v>
      </c>
      <c r="B258" s="3">
        <v>0.26248399499999997</v>
      </c>
      <c r="C258" s="3">
        <v>5</v>
      </c>
      <c r="D258" s="3">
        <v>20</v>
      </c>
      <c r="E258" s="3">
        <v>0.06</v>
      </c>
      <c r="F258" s="3">
        <f t="shared" si="43"/>
        <v>2.8409000509219249</v>
      </c>
      <c r="G258" s="5">
        <v>0.4</v>
      </c>
      <c r="H258" s="4">
        <v>25000000</v>
      </c>
      <c r="I258" s="4">
        <f t="shared" si="53"/>
        <v>6562099.8749999991</v>
      </c>
      <c r="J258" s="3">
        <v>210000000000</v>
      </c>
      <c r="K258" s="4">
        <f t="shared" si="54"/>
        <v>8.6390302122964155E-2</v>
      </c>
      <c r="L258" s="6">
        <f t="shared" si="44"/>
        <v>1.7278060424592832</v>
      </c>
      <c r="M258" s="4">
        <f t="shared" si="45"/>
        <v>6241944.9941120232</v>
      </c>
      <c r="N258" s="4">
        <f t="shared" si="46"/>
        <v>624194499.41120231</v>
      </c>
      <c r="O258" s="4">
        <f t="shared" si="47"/>
        <v>83225933254.826981</v>
      </c>
      <c r="P258" s="4">
        <f t="shared" si="48"/>
        <v>-6241944994.1120234</v>
      </c>
      <c r="Q258" s="4">
        <f t="shared" si="51"/>
        <v>87865898.028615117</v>
      </c>
      <c r="R258" s="4">
        <f t="shared" si="51"/>
        <v>11715453070.482025</v>
      </c>
      <c r="S258" s="4">
        <f t="shared" si="51"/>
        <v>-878658980.28615189</v>
      </c>
      <c r="T258" s="3"/>
      <c r="U258" s="4">
        <f t="shared" si="49"/>
        <v>18373879.649999995</v>
      </c>
      <c r="V258">
        <f t="shared" si="50"/>
        <v>596589010693.60425</v>
      </c>
    </row>
    <row r="259" spans="1:22" x14ac:dyDescent="0.5">
      <c r="A259" s="3">
        <v>25</v>
      </c>
      <c r="B259" s="3">
        <v>0.23154075999999998</v>
      </c>
      <c r="C259" s="3">
        <v>5</v>
      </c>
      <c r="D259" s="3">
        <v>20</v>
      </c>
      <c r="E259" s="3">
        <v>0.06</v>
      </c>
      <c r="F259" s="3">
        <f t="shared" ref="F259:F322" si="55">(3.141592*((C259^4)-(C259-(2*E259))^4))/64</f>
        <v>2.8409000509219249</v>
      </c>
      <c r="G259" s="5">
        <v>0.4</v>
      </c>
      <c r="H259" s="4">
        <v>25000000</v>
      </c>
      <c r="I259" s="4">
        <f t="shared" si="53"/>
        <v>5788519</v>
      </c>
      <c r="J259" s="3">
        <v>210000000000</v>
      </c>
      <c r="K259" s="4">
        <f t="shared" si="54"/>
        <v>8.6390302122964155E-2</v>
      </c>
      <c r="L259" s="6">
        <f t="shared" ref="L259:L322" si="56">K259*D259</f>
        <v>1.7278060424592832</v>
      </c>
      <c r="M259" s="4">
        <f t="shared" ref="M259:M322" si="57">(0.65/C259)*(((2*U259*(1+G259)*C259^4)/(J259*F259))^(1/12))*((2*U259*(1+G259))/(1-G259^2))</f>
        <v>5448851.2220904669</v>
      </c>
      <c r="N259" s="4">
        <f t="shared" ref="N259:N322" si="58">IF(L259&gt;=2.5,M259*C259/K259,M259*C259*D259)</f>
        <v>544885122.20904672</v>
      </c>
      <c r="O259" s="4">
        <f t="shared" ref="O259:O322" si="59">IF(L259&gt;=2.5,M259*C259/(2*K259^3),M259*C259*(D259^3)/3)</f>
        <v>72651349627.872894</v>
      </c>
      <c r="P259" s="4">
        <f t="shared" ref="P259:P322" si="60">IF(L259&gt;=2.5,-(M259*C259/(2*K259^2)),-(M259*C259*(D259^2)/2))</f>
        <v>-5448851222.0904675</v>
      </c>
      <c r="Q259" s="4">
        <f t="shared" si="51"/>
        <v>79309377.20215559</v>
      </c>
      <c r="R259" s="4">
        <f t="shared" si="51"/>
        <v>10574583626.954086</v>
      </c>
      <c r="S259" s="4">
        <f t="shared" si="51"/>
        <v>-793093772.0215559</v>
      </c>
      <c r="T259" s="3"/>
      <c r="U259" s="4">
        <f t="shared" ref="U259:U322" si="61">2*I259*(G259+1)</f>
        <v>16207853.199999999</v>
      </c>
      <c r="V259">
        <f t="shared" ref="V259:V322" si="62">J259*F259</f>
        <v>596589010693.60425</v>
      </c>
    </row>
    <row r="260" spans="1:22" x14ac:dyDescent="0.5">
      <c r="A260" s="3">
        <v>25</v>
      </c>
      <c r="B260" s="3">
        <v>0.19974391799999999</v>
      </c>
      <c r="C260" s="3">
        <v>5</v>
      </c>
      <c r="D260" s="3">
        <v>20</v>
      </c>
      <c r="E260" s="3">
        <v>0.06</v>
      </c>
      <c r="F260" s="3">
        <f t="shared" si="55"/>
        <v>2.8409000509219249</v>
      </c>
      <c r="G260" s="5">
        <v>0.4</v>
      </c>
      <c r="H260" s="4">
        <v>25000000</v>
      </c>
      <c r="I260" s="4">
        <f t="shared" si="53"/>
        <v>4993597.95</v>
      </c>
      <c r="J260" s="3">
        <v>210000000000</v>
      </c>
      <c r="K260" s="4">
        <f t="shared" si="54"/>
        <v>8.6390302122964155E-2</v>
      </c>
      <c r="L260" s="6">
        <f t="shared" si="56"/>
        <v>1.7278060424592832</v>
      </c>
      <c r="M260" s="4">
        <f t="shared" si="57"/>
        <v>4643066.4830216393</v>
      </c>
      <c r="N260" s="4">
        <f t="shared" si="58"/>
        <v>464306648.30216396</v>
      </c>
      <c r="O260" s="4">
        <f t="shared" si="59"/>
        <v>61907553106.955193</v>
      </c>
      <c r="P260" s="4">
        <f t="shared" si="60"/>
        <v>-4643066483.0216389</v>
      </c>
      <c r="Q260" s="4">
        <f t="shared" ref="Q260:S323" si="63">N259-N260</f>
        <v>80578473.906882763</v>
      </c>
      <c r="R260" s="4">
        <f t="shared" si="63"/>
        <v>10743796520.917702</v>
      </c>
      <c r="S260" s="4">
        <f t="shared" si="63"/>
        <v>-805784739.06882858</v>
      </c>
      <c r="T260" s="3"/>
      <c r="U260" s="4">
        <f t="shared" si="61"/>
        <v>13982074.26</v>
      </c>
      <c r="V260">
        <f t="shared" si="62"/>
        <v>596589010693.60425</v>
      </c>
    </row>
    <row r="261" spans="1:22" x14ac:dyDescent="0.5">
      <c r="A261" s="3">
        <v>25</v>
      </c>
      <c r="B261" s="3">
        <v>0.16965428900000001</v>
      </c>
      <c r="C261" s="3">
        <v>5</v>
      </c>
      <c r="D261" s="3">
        <v>20</v>
      </c>
      <c r="E261" s="3">
        <v>0.06</v>
      </c>
      <c r="F261" s="3">
        <f t="shared" si="55"/>
        <v>2.8409000509219249</v>
      </c>
      <c r="G261" s="5">
        <v>0.4</v>
      </c>
      <c r="H261" s="4">
        <v>25000000</v>
      </c>
      <c r="I261" s="4">
        <f t="shared" si="53"/>
        <v>4241357.2250000006</v>
      </c>
      <c r="J261" s="3">
        <v>210000000000</v>
      </c>
      <c r="K261" s="4">
        <f t="shared" si="54"/>
        <v>8.6390302122964155E-2</v>
      </c>
      <c r="L261" s="6">
        <f t="shared" si="56"/>
        <v>1.7278060424592832</v>
      </c>
      <c r="M261" s="4">
        <f t="shared" si="57"/>
        <v>3890336.0828527268</v>
      </c>
      <c r="N261" s="4">
        <f t="shared" si="58"/>
        <v>389033608.28527272</v>
      </c>
      <c r="O261" s="4">
        <f t="shared" si="59"/>
        <v>51871147771.369698</v>
      </c>
      <c r="P261" s="4">
        <f t="shared" si="60"/>
        <v>-3890336082.8527269</v>
      </c>
      <c r="Q261" s="4">
        <f t="shared" si="63"/>
        <v>75273040.016891241</v>
      </c>
      <c r="R261" s="4">
        <f t="shared" si="63"/>
        <v>10036405335.585495</v>
      </c>
      <c r="S261" s="4">
        <f t="shared" si="63"/>
        <v>-752730400.16891193</v>
      </c>
      <c r="T261" s="3"/>
      <c r="U261" s="4">
        <f t="shared" si="61"/>
        <v>11875800.23</v>
      </c>
      <c r="V261">
        <f t="shared" si="62"/>
        <v>596589010693.60425</v>
      </c>
    </row>
    <row r="262" spans="1:22" x14ac:dyDescent="0.5">
      <c r="A262" s="3">
        <v>25</v>
      </c>
      <c r="B262" s="3">
        <v>0.14340588999999998</v>
      </c>
      <c r="C262" s="3">
        <v>5</v>
      </c>
      <c r="D262" s="3">
        <v>20</v>
      </c>
      <c r="E262" s="3">
        <v>0.06</v>
      </c>
      <c r="F262" s="3">
        <f t="shared" si="55"/>
        <v>2.8409000509219249</v>
      </c>
      <c r="G262" s="5">
        <v>0.4</v>
      </c>
      <c r="H262" s="4">
        <v>25000000</v>
      </c>
      <c r="I262" s="4">
        <f t="shared" si="53"/>
        <v>3585147.2499999995</v>
      </c>
      <c r="J262" s="3">
        <v>210000000000</v>
      </c>
      <c r="K262" s="4">
        <f t="shared" si="54"/>
        <v>8.6390302122964155E-2</v>
      </c>
      <c r="L262" s="6">
        <f t="shared" si="56"/>
        <v>1.7278060424592832</v>
      </c>
      <c r="M262" s="4">
        <f t="shared" si="57"/>
        <v>3242695.0787249124</v>
      </c>
      <c r="N262" s="4">
        <f t="shared" si="58"/>
        <v>324269507.87249124</v>
      </c>
      <c r="O262" s="4">
        <f t="shared" si="59"/>
        <v>43235934382.998833</v>
      </c>
      <c r="P262" s="4">
        <f t="shared" si="60"/>
        <v>-3242695078.7249126</v>
      </c>
      <c r="Q262" s="4">
        <f t="shared" si="63"/>
        <v>64764100.412781477</v>
      </c>
      <c r="R262" s="4">
        <f t="shared" si="63"/>
        <v>8635213388.3708649</v>
      </c>
      <c r="S262" s="4">
        <f t="shared" si="63"/>
        <v>-647641004.12781429</v>
      </c>
      <c r="T262" s="3"/>
      <c r="U262" s="4">
        <f t="shared" si="61"/>
        <v>10038412.299999999</v>
      </c>
      <c r="V262">
        <f t="shared" si="62"/>
        <v>596589010693.60425</v>
      </c>
    </row>
    <row r="263" spans="1:22" x14ac:dyDescent="0.5">
      <c r="A263" s="3">
        <v>25</v>
      </c>
      <c r="B263" s="3">
        <v>0.11822449833333334</v>
      </c>
      <c r="C263" s="3">
        <v>5</v>
      </c>
      <c r="D263" s="3">
        <v>20</v>
      </c>
      <c r="E263" s="3">
        <v>0.06</v>
      </c>
      <c r="F263" s="3">
        <f t="shared" si="55"/>
        <v>2.8409000509219249</v>
      </c>
      <c r="G263" s="5">
        <v>0.4</v>
      </c>
      <c r="H263" s="4">
        <v>25000000</v>
      </c>
      <c r="I263" s="4">
        <f t="shared" si="53"/>
        <v>2955612.4583333335</v>
      </c>
      <c r="J263" s="3">
        <v>210000000000</v>
      </c>
      <c r="K263" s="4">
        <f t="shared" si="54"/>
        <v>8.6390302122964155E-2</v>
      </c>
      <c r="L263" s="6">
        <f t="shared" si="56"/>
        <v>1.7278060424592832</v>
      </c>
      <c r="M263" s="4">
        <f t="shared" si="57"/>
        <v>2630621.1694758851</v>
      </c>
      <c r="N263" s="4">
        <f t="shared" si="58"/>
        <v>263062116.9475885</v>
      </c>
      <c r="O263" s="4">
        <f t="shared" si="59"/>
        <v>35074948926.345131</v>
      </c>
      <c r="P263" s="4">
        <f t="shared" si="60"/>
        <v>-2630621169.4758849</v>
      </c>
      <c r="Q263" s="4">
        <f t="shared" si="63"/>
        <v>61207390.924902737</v>
      </c>
      <c r="R263" s="4">
        <f t="shared" si="63"/>
        <v>8160985456.6537018</v>
      </c>
      <c r="S263" s="4">
        <f t="shared" si="63"/>
        <v>-612073909.24902773</v>
      </c>
      <c r="T263" s="3"/>
      <c r="U263" s="4">
        <f t="shared" si="61"/>
        <v>8275714.8833333328</v>
      </c>
      <c r="V263">
        <f t="shared" si="62"/>
        <v>596589010693.60425</v>
      </c>
    </row>
    <row r="264" spans="1:22" x14ac:dyDescent="0.5">
      <c r="A264" s="3">
        <v>25</v>
      </c>
      <c r="B264" s="3">
        <v>0.10520699966666668</v>
      </c>
      <c r="C264" s="3">
        <v>5</v>
      </c>
      <c r="D264" s="3">
        <v>20</v>
      </c>
      <c r="E264" s="3">
        <v>0.06</v>
      </c>
      <c r="F264" s="3">
        <f t="shared" si="55"/>
        <v>2.8409000509219249</v>
      </c>
      <c r="G264" s="5">
        <v>0.4</v>
      </c>
      <c r="H264" s="4">
        <v>25000000</v>
      </c>
      <c r="I264" s="4">
        <f t="shared" si="53"/>
        <v>2630174.9916666667</v>
      </c>
      <c r="J264" s="3">
        <v>210000000000</v>
      </c>
      <c r="K264" s="4">
        <f t="shared" si="54"/>
        <v>8.6390302122964155E-2</v>
      </c>
      <c r="L264" s="6">
        <f t="shared" si="56"/>
        <v>1.7278060424592832</v>
      </c>
      <c r="M264" s="4">
        <f t="shared" si="57"/>
        <v>2318320.9646494226</v>
      </c>
      <c r="N264" s="4">
        <f t="shared" si="58"/>
        <v>231832096.46494225</v>
      </c>
      <c r="O264" s="4">
        <f t="shared" si="59"/>
        <v>30910946195.325634</v>
      </c>
      <c r="P264" s="4">
        <f t="shared" si="60"/>
        <v>-2318320964.6494226</v>
      </c>
      <c r="Q264" s="4">
        <f t="shared" si="63"/>
        <v>31230020.482646257</v>
      </c>
      <c r="R264" s="4">
        <f t="shared" si="63"/>
        <v>4164002731.0194969</v>
      </c>
      <c r="S264" s="4">
        <f t="shared" si="63"/>
        <v>-312300204.82646227</v>
      </c>
      <c r="T264" s="3"/>
      <c r="U264" s="4">
        <f t="shared" si="61"/>
        <v>7364489.9766666666</v>
      </c>
      <c r="V264">
        <f t="shared" si="62"/>
        <v>596589010693.60425</v>
      </c>
    </row>
    <row r="265" spans="1:22" x14ac:dyDescent="0.5">
      <c r="A265" s="3">
        <v>25</v>
      </c>
      <c r="B265" s="3">
        <v>9.1549295333333336E-2</v>
      </c>
      <c r="C265" s="3">
        <v>5</v>
      </c>
      <c r="D265" s="3">
        <v>20</v>
      </c>
      <c r="E265" s="3">
        <v>0.06</v>
      </c>
      <c r="F265" s="3">
        <f t="shared" si="55"/>
        <v>2.8409000509219249</v>
      </c>
      <c r="G265" s="5">
        <v>0.4</v>
      </c>
      <c r="H265" s="4">
        <v>25000000</v>
      </c>
      <c r="I265" s="4">
        <f t="shared" si="53"/>
        <v>2288732.3833333333</v>
      </c>
      <c r="J265" s="3">
        <v>210000000000</v>
      </c>
      <c r="K265" s="4">
        <f t="shared" si="54"/>
        <v>8.6390302122964155E-2</v>
      </c>
      <c r="L265" s="6">
        <f t="shared" si="56"/>
        <v>1.7278060424592832</v>
      </c>
      <c r="M265" s="4">
        <f t="shared" si="57"/>
        <v>1994120.8017061418</v>
      </c>
      <c r="N265" s="4">
        <f t="shared" si="58"/>
        <v>199412080.17061418</v>
      </c>
      <c r="O265" s="4">
        <f t="shared" si="59"/>
        <v>26588277356.081894</v>
      </c>
      <c r="P265" s="4">
        <f t="shared" si="60"/>
        <v>-1994120801.7061419</v>
      </c>
      <c r="Q265" s="4">
        <f t="shared" si="63"/>
        <v>32420016.294328064</v>
      </c>
      <c r="R265" s="4">
        <f t="shared" si="63"/>
        <v>4322668839.2437401</v>
      </c>
      <c r="S265" s="4">
        <f t="shared" si="63"/>
        <v>-324200162.9432807</v>
      </c>
      <c r="T265" s="3"/>
      <c r="U265" s="4">
        <f t="shared" si="61"/>
        <v>6408450.6733333329</v>
      </c>
      <c r="V265">
        <f t="shared" si="62"/>
        <v>596589010693.60425</v>
      </c>
    </row>
    <row r="266" spans="1:22" x14ac:dyDescent="0.5">
      <c r="A266" s="3">
        <v>30</v>
      </c>
      <c r="B266" s="5">
        <v>1</v>
      </c>
      <c r="C266" s="3">
        <v>5</v>
      </c>
      <c r="D266" s="3">
        <v>25</v>
      </c>
      <c r="E266" s="3">
        <v>6.5000000000000002E-2</v>
      </c>
      <c r="F266" s="3">
        <f t="shared" si="55"/>
        <v>3.068385758787318</v>
      </c>
      <c r="G266" s="5">
        <v>0.3</v>
      </c>
      <c r="H266" s="4">
        <v>30000000</v>
      </c>
      <c r="I266" s="4">
        <f>B266*$H$266</f>
        <v>30000000</v>
      </c>
      <c r="J266" s="3">
        <v>210000000000</v>
      </c>
      <c r="K266" s="4">
        <f>(($M$266*C266)/(4*J266*F266))^(1/4)</f>
        <v>8.3700019182102431E-2</v>
      </c>
      <c r="L266" s="6">
        <f t="shared" si="56"/>
        <v>2.0925004795525606</v>
      </c>
      <c r="M266" s="4">
        <f t="shared" si="57"/>
        <v>25300055.286992632</v>
      </c>
      <c r="N266" s="4">
        <f t="shared" si="58"/>
        <v>3162506910.8740792</v>
      </c>
      <c r="O266" s="4">
        <f t="shared" si="59"/>
        <v>658855606432.09985</v>
      </c>
      <c r="P266" s="4">
        <f t="shared" si="60"/>
        <v>-39531336385.925987</v>
      </c>
      <c r="Q266" s="4">
        <f>N266</f>
        <v>3162506910.8740792</v>
      </c>
      <c r="R266" s="4">
        <f t="shared" ref="R266:S266" si="64">O266</f>
        <v>658855606432.09985</v>
      </c>
      <c r="S266" s="4">
        <f t="shared" si="64"/>
        <v>-39531336385.925987</v>
      </c>
      <c r="T266" s="3"/>
      <c r="U266" s="4">
        <f t="shared" si="61"/>
        <v>78000000</v>
      </c>
      <c r="V266">
        <f t="shared" si="62"/>
        <v>644361009345.33679</v>
      </c>
    </row>
    <row r="267" spans="1:22" x14ac:dyDescent="0.5">
      <c r="A267" s="3">
        <v>30</v>
      </c>
      <c r="B267" s="5">
        <v>1</v>
      </c>
      <c r="C267" s="3">
        <v>5</v>
      </c>
      <c r="D267" s="3">
        <v>25</v>
      </c>
      <c r="E267" s="3">
        <v>6.5000000000000002E-2</v>
      </c>
      <c r="F267" s="3">
        <f t="shared" si="55"/>
        <v>3.068385758787318</v>
      </c>
      <c r="G267" s="5">
        <v>0.3</v>
      </c>
      <c r="H267" s="4">
        <v>30000000</v>
      </c>
      <c r="I267" s="4">
        <f t="shared" ref="I267:I309" si="65">B267*$H$266</f>
        <v>30000000</v>
      </c>
      <c r="J267" s="3">
        <v>210000000000</v>
      </c>
      <c r="K267" s="4">
        <f t="shared" ref="K267:K309" si="66">(($M$266*C267)/(4*J267*F267))^(1/4)</f>
        <v>8.3700019182102431E-2</v>
      </c>
      <c r="L267" s="6">
        <f t="shared" si="56"/>
        <v>2.0925004795525606</v>
      </c>
      <c r="M267" s="4">
        <f t="shared" si="57"/>
        <v>25300055.286992632</v>
      </c>
      <c r="N267" s="4">
        <f t="shared" si="58"/>
        <v>3162506910.8740792</v>
      </c>
      <c r="O267" s="4">
        <f t="shared" si="59"/>
        <v>658855606432.09985</v>
      </c>
      <c r="P267" s="4">
        <f t="shared" si="60"/>
        <v>-39531336385.925987</v>
      </c>
      <c r="Q267" s="4">
        <f t="shared" si="63"/>
        <v>0</v>
      </c>
      <c r="R267" s="4">
        <f t="shared" si="63"/>
        <v>0</v>
      </c>
      <c r="S267" s="4">
        <f t="shared" si="63"/>
        <v>0</v>
      </c>
      <c r="T267" s="3"/>
      <c r="U267" s="4">
        <f t="shared" si="61"/>
        <v>78000000</v>
      </c>
      <c r="V267">
        <f t="shared" si="62"/>
        <v>644361009345.33679</v>
      </c>
    </row>
    <row r="268" spans="1:22" x14ac:dyDescent="0.5">
      <c r="A268" s="3">
        <v>30</v>
      </c>
      <c r="B268" s="5">
        <v>1</v>
      </c>
      <c r="C268" s="3">
        <v>5</v>
      </c>
      <c r="D268" s="3">
        <v>25</v>
      </c>
      <c r="E268" s="3">
        <v>6.5000000000000002E-2</v>
      </c>
      <c r="F268" s="3">
        <f t="shared" si="55"/>
        <v>3.068385758787318</v>
      </c>
      <c r="G268" s="5">
        <v>0.3</v>
      </c>
      <c r="H268" s="4">
        <v>30000000</v>
      </c>
      <c r="I268" s="4">
        <f t="shared" si="65"/>
        <v>30000000</v>
      </c>
      <c r="J268" s="3">
        <v>210000000000</v>
      </c>
      <c r="K268" s="4">
        <f t="shared" si="66"/>
        <v>8.3700019182102431E-2</v>
      </c>
      <c r="L268" s="6">
        <f t="shared" si="56"/>
        <v>2.0925004795525606</v>
      </c>
      <c r="M268" s="4">
        <f t="shared" si="57"/>
        <v>25300055.286992632</v>
      </c>
      <c r="N268" s="4">
        <f t="shared" si="58"/>
        <v>3162506910.8740792</v>
      </c>
      <c r="O268" s="4">
        <f t="shared" si="59"/>
        <v>658855606432.09985</v>
      </c>
      <c r="P268" s="4">
        <f t="shared" si="60"/>
        <v>-39531336385.925987</v>
      </c>
      <c r="Q268" s="4">
        <f t="shared" si="63"/>
        <v>0</v>
      </c>
      <c r="R268" s="4">
        <f t="shared" si="63"/>
        <v>0</v>
      </c>
      <c r="S268" s="4">
        <f t="shared" si="63"/>
        <v>0</v>
      </c>
      <c r="T268" s="3"/>
      <c r="U268" s="4">
        <f t="shared" si="61"/>
        <v>78000000</v>
      </c>
      <c r="V268">
        <f t="shared" si="62"/>
        <v>644361009345.33679</v>
      </c>
    </row>
    <row r="269" spans="1:22" x14ac:dyDescent="0.5">
      <c r="A269" s="3">
        <v>30</v>
      </c>
      <c r="B269" s="5">
        <v>1</v>
      </c>
      <c r="C269" s="3">
        <v>5</v>
      </c>
      <c r="D269" s="3">
        <v>25</v>
      </c>
      <c r="E269" s="3">
        <v>6.5000000000000002E-2</v>
      </c>
      <c r="F269" s="3">
        <f t="shared" si="55"/>
        <v>3.068385758787318</v>
      </c>
      <c r="G269" s="5">
        <v>0.3</v>
      </c>
      <c r="H269" s="4">
        <v>30000000</v>
      </c>
      <c r="I269" s="4">
        <f t="shared" si="65"/>
        <v>30000000</v>
      </c>
      <c r="J269" s="3">
        <v>210000000000</v>
      </c>
      <c r="K269" s="4">
        <f t="shared" si="66"/>
        <v>8.3700019182102431E-2</v>
      </c>
      <c r="L269" s="6">
        <f t="shared" si="56"/>
        <v>2.0925004795525606</v>
      </c>
      <c r="M269" s="4">
        <f t="shared" si="57"/>
        <v>25300055.286992632</v>
      </c>
      <c r="N269" s="4">
        <f t="shared" si="58"/>
        <v>3162506910.8740792</v>
      </c>
      <c r="O269" s="4">
        <f t="shared" si="59"/>
        <v>658855606432.09985</v>
      </c>
      <c r="P269" s="4">
        <f t="shared" si="60"/>
        <v>-39531336385.925987</v>
      </c>
      <c r="Q269" s="4">
        <f t="shared" si="63"/>
        <v>0</v>
      </c>
      <c r="R269" s="4">
        <f t="shared" si="63"/>
        <v>0</v>
      </c>
      <c r="S269" s="4">
        <f t="shared" si="63"/>
        <v>0</v>
      </c>
      <c r="T269" s="3"/>
      <c r="U269" s="4">
        <f t="shared" si="61"/>
        <v>78000000</v>
      </c>
      <c r="V269">
        <f t="shared" si="62"/>
        <v>644361009345.33679</v>
      </c>
    </row>
    <row r="270" spans="1:22" x14ac:dyDescent="0.5">
      <c r="A270" s="3">
        <v>30</v>
      </c>
      <c r="B270" s="5">
        <v>1</v>
      </c>
      <c r="C270" s="3">
        <v>5</v>
      </c>
      <c r="D270" s="3">
        <v>25</v>
      </c>
      <c r="E270" s="3">
        <v>6.5000000000000002E-2</v>
      </c>
      <c r="F270" s="3">
        <f t="shared" si="55"/>
        <v>3.068385758787318</v>
      </c>
      <c r="G270" s="5">
        <v>0.3</v>
      </c>
      <c r="H270" s="4">
        <v>30000000</v>
      </c>
      <c r="I270" s="4">
        <f t="shared" si="65"/>
        <v>30000000</v>
      </c>
      <c r="J270" s="3">
        <v>210000000000</v>
      </c>
      <c r="K270" s="4">
        <f t="shared" si="66"/>
        <v>8.3700019182102431E-2</v>
      </c>
      <c r="L270" s="6">
        <f t="shared" si="56"/>
        <v>2.0925004795525606</v>
      </c>
      <c r="M270" s="4">
        <f t="shared" si="57"/>
        <v>25300055.286992632</v>
      </c>
      <c r="N270" s="4">
        <f t="shared" si="58"/>
        <v>3162506910.8740792</v>
      </c>
      <c r="O270" s="4">
        <f t="shared" si="59"/>
        <v>658855606432.09985</v>
      </c>
      <c r="P270" s="4">
        <f t="shared" si="60"/>
        <v>-39531336385.925987</v>
      </c>
      <c r="Q270" s="4">
        <f t="shared" si="63"/>
        <v>0</v>
      </c>
      <c r="R270" s="4">
        <f t="shared" si="63"/>
        <v>0</v>
      </c>
      <c r="S270" s="4">
        <f t="shared" si="63"/>
        <v>0</v>
      </c>
      <c r="T270" s="3"/>
      <c r="U270" s="4">
        <f t="shared" si="61"/>
        <v>78000000</v>
      </c>
      <c r="V270">
        <f t="shared" si="62"/>
        <v>644361009345.33679</v>
      </c>
    </row>
    <row r="271" spans="1:22" x14ac:dyDescent="0.5">
      <c r="A271" s="3">
        <v>30</v>
      </c>
      <c r="B271" s="5">
        <v>1</v>
      </c>
      <c r="C271" s="3">
        <v>5</v>
      </c>
      <c r="D271" s="3">
        <v>25</v>
      </c>
      <c r="E271" s="3">
        <v>6.5000000000000002E-2</v>
      </c>
      <c r="F271" s="3">
        <f t="shared" si="55"/>
        <v>3.068385758787318</v>
      </c>
      <c r="G271" s="5">
        <v>0.3</v>
      </c>
      <c r="H271" s="4">
        <v>30000000</v>
      </c>
      <c r="I271" s="4">
        <f t="shared" si="65"/>
        <v>30000000</v>
      </c>
      <c r="J271" s="3">
        <v>210000000000</v>
      </c>
      <c r="K271" s="4">
        <f t="shared" si="66"/>
        <v>8.3700019182102431E-2</v>
      </c>
      <c r="L271" s="6">
        <f t="shared" si="56"/>
        <v>2.0925004795525606</v>
      </c>
      <c r="M271" s="4">
        <f t="shared" si="57"/>
        <v>25300055.286992632</v>
      </c>
      <c r="N271" s="4">
        <f t="shared" si="58"/>
        <v>3162506910.8740792</v>
      </c>
      <c r="O271" s="4">
        <f t="shared" si="59"/>
        <v>658855606432.09985</v>
      </c>
      <c r="P271" s="4">
        <f t="shared" si="60"/>
        <v>-39531336385.925987</v>
      </c>
      <c r="Q271" s="4">
        <f t="shared" si="63"/>
        <v>0</v>
      </c>
      <c r="R271" s="4">
        <f t="shared" si="63"/>
        <v>0</v>
      </c>
      <c r="S271" s="4">
        <f t="shared" si="63"/>
        <v>0</v>
      </c>
      <c r="T271" s="3"/>
      <c r="U271" s="4">
        <f t="shared" si="61"/>
        <v>78000000</v>
      </c>
      <c r="V271">
        <f t="shared" si="62"/>
        <v>644361009345.33679</v>
      </c>
    </row>
    <row r="272" spans="1:22" x14ac:dyDescent="0.5">
      <c r="A272" s="3">
        <v>30</v>
      </c>
      <c r="B272" s="5">
        <v>1</v>
      </c>
      <c r="C272" s="3">
        <v>5</v>
      </c>
      <c r="D272" s="3">
        <v>25</v>
      </c>
      <c r="E272" s="3">
        <v>6.5000000000000002E-2</v>
      </c>
      <c r="F272" s="3">
        <f t="shared" si="55"/>
        <v>3.068385758787318</v>
      </c>
      <c r="G272" s="5">
        <v>0.3</v>
      </c>
      <c r="H272" s="4">
        <v>30000000</v>
      </c>
      <c r="I272" s="4">
        <f t="shared" si="65"/>
        <v>30000000</v>
      </c>
      <c r="J272" s="3">
        <v>210000000000</v>
      </c>
      <c r="K272" s="4">
        <f t="shared" si="66"/>
        <v>8.3700019182102431E-2</v>
      </c>
      <c r="L272" s="6">
        <f t="shared" si="56"/>
        <v>2.0925004795525606</v>
      </c>
      <c r="M272" s="4">
        <f t="shared" si="57"/>
        <v>25300055.286992632</v>
      </c>
      <c r="N272" s="4">
        <f t="shared" si="58"/>
        <v>3162506910.8740792</v>
      </c>
      <c r="O272" s="4">
        <f t="shared" si="59"/>
        <v>658855606432.09985</v>
      </c>
      <c r="P272" s="4">
        <f t="shared" si="60"/>
        <v>-39531336385.925987</v>
      </c>
      <c r="Q272" s="4">
        <f t="shared" si="63"/>
        <v>0</v>
      </c>
      <c r="R272" s="4">
        <f t="shared" si="63"/>
        <v>0</v>
      </c>
      <c r="S272" s="4">
        <f t="shared" si="63"/>
        <v>0</v>
      </c>
      <c r="T272" s="3"/>
      <c r="U272" s="4">
        <f t="shared" si="61"/>
        <v>78000000</v>
      </c>
      <c r="V272">
        <f t="shared" si="62"/>
        <v>644361009345.33679</v>
      </c>
    </row>
    <row r="273" spans="1:22" x14ac:dyDescent="0.5">
      <c r="A273" s="3">
        <v>30</v>
      </c>
      <c r="B273" s="5">
        <v>1</v>
      </c>
      <c r="C273" s="3">
        <v>5</v>
      </c>
      <c r="D273" s="3">
        <v>25</v>
      </c>
      <c r="E273" s="3">
        <v>6.5000000000000002E-2</v>
      </c>
      <c r="F273" s="3">
        <f t="shared" si="55"/>
        <v>3.068385758787318</v>
      </c>
      <c r="G273" s="5">
        <v>0.3</v>
      </c>
      <c r="H273" s="4">
        <v>30000000</v>
      </c>
      <c r="I273" s="4">
        <f t="shared" si="65"/>
        <v>30000000</v>
      </c>
      <c r="J273" s="3">
        <v>210000000000</v>
      </c>
      <c r="K273" s="4">
        <f t="shared" si="66"/>
        <v>8.3700019182102431E-2</v>
      </c>
      <c r="L273" s="6">
        <f t="shared" si="56"/>
        <v>2.0925004795525606</v>
      </c>
      <c r="M273" s="4">
        <f t="shared" si="57"/>
        <v>25300055.286992632</v>
      </c>
      <c r="N273" s="4">
        <f t="shared" si="58"/>
        <v>3162506910.8740792</v>
      </c>
      <c r="O273" s="4">
        <f t="shared" si="59"/>
        <v>658855606432.09985</v>
      </c>
      <c r="P273" s="4">
        <f t="shared" si="60"/>
        <v>-39531336385.925987</v>
      </c>
      <c r="Q273" s="4">
        <f t="shared" si="63"/>
        <v>0</v>
      </c>
      <c r="R273" s="4">
        <f t="shared" si="63"/>
        <v>0</v>
      </c>
      <c r="S273" s="4">
        <f t="shared" si="63"/>
        <v>0</v>
      </c>
      <c r="T273" s="3"/>
      <c r="U273" s="4">
        <f t="shared" si="61"/>
        <v>78000000</v>
      </c>
      <c r="V273">
        <f t="shared" si="62"/>
        <v>644361009345.33679</v>
      </c>
    </row>
    <row r="274" spans="1:22" x14ac:dyDescent="0.5">
      <c r="A274" s="3">
        <v>30</v>
      </c>
      <c r="B274" s="5">
        <v>1</v>
      </c>
      <c r="C274" s="3">
        <v>5</v>
      </c>
      <c r="D274" s="3">
        <v>25</v>
      </c>
      <c r="E274" s="3">
        <v>6.5000000000000002E-2</v>
      </c>
      <c r="F274" s="3">
        <f t="shared" si="55"/>
        <v>3.068385758787318</v>
      </c>
      <c r="G274" s="5">
        <v>0.3</v>
      </c>
      <c r="H274" s="4">
        <v>30000000</v>
      </c>
      <c r="I274" s="4">
        <f t="shared" si="65"/>
        <v>30000000</v>
      </c>
      <c r="J274" s="3">
        <v>210000000000</v>
      </c>
      <c r="K274" s="4">
        <f t="shared" si="66"/>
        <v>8.3700019182102431E-2</v>
      </c>
      <c r="L274" s="6">
        <f t="shared" si="56"/>
        <v>2.0925004795525606</v>
      </c>
      <c r="M274" s="4">
        <f t="shared" si="57"/>
        <v>25300055.286992632</v>
      </c>
      <c r="N274" s="4">
        <f t="shared" si="58"/>
        <v>3162506910.8740792</v>
      </c>
      <c r="O274" s="4">
        <f t="shared" si="59"/>
        <v>658855606432.09985</v>
      </c>
      <c r="P274" s="4">
        <f t="shared" si="60"/>
        <v>-39531336385.925987</v>
      </c>
      <c r="Q274" s="4">
        <f t="shared" si="63"/>
        <v>0</v>
      </c>
      <c r="R274" s="4">
        <f t="shared" si="63"/>
        <v>0</v>
      </c>
      <c r="S274" s="4">
        <f t="shared" si="63"/>
        <v>0</v>
      </c>
      <c r="T274" s="3"/>
      <c r="U274" s="4">
        <f t="shared" si="61"/>
        <v>78000000</v>
      </c>
      <c r="V274">
        <f t="shared" si="62"/>
        <v>644361009345.33679</v>
      </c>
    </row>
    <row r="275" spans="1:22" x14ac:dyDescent="0.5">
      <c r="A275" s="3">
        <v>30</v>
      </c>
      <c r="B275" s="5">
        <v>1</v>
      </c>
      <c r="C275" s="3">
        <v>5</v>
      </c>
      <c r="D275" s="3">
        <v>25</v>
      </c>
      <c r="E275" s="3">
        <v>6.5000000000000002E-2</v>
      </c>
      <c r="F275" s="3">
        <f t="shared" si="55"/>
        <v>3.068385758787318</v>
      </c>
      <c r="G275" s="5">
        <v>0.3</v>
      </c>
      <c r="H275" s="4">
        <v>30000000</v>
      </c>
      <c r="I275" s="4">
        <f t="shared" si="65"/>
        <v>30000000</v>
      </c>
      <c r="J275" s="3">
        <v>210000000000</v>
      </c>
      <c r="K275" s="4">
        <f t="shared" si="66"/>
        <v>8.3700019182102431E-2</v>
      </c>
      <c r="L275" s="6">
        <f t="shared" si="56"/>
        <v>2.0925004795525606</v>
      </c>
      <c r="M275" s="4">
        <f t="shared" si="57"/>
        <v>25300055.286992632</v>
      </c>
      <c r="N275" s="4">
        <f t="shared" si="58"/>
        <v>3162506910.8740792</v>
      </c>
      <c r="O275" s="4">
        <f t="shared" si="59"/>
        <v>658855606432.09985</v>
      </c>
      <c r="P275" s="4">
        <f t="shared" si="60"/>
        <v>-39531336385.925987</v>
      </c>
      <c r="Q275" s="4">
        <f t="shared" si="63"/>
        <v>0</v>
      </c>
      <c r="R275" s="4">
        <f t="shared" si="63"/>
        <v>0</v>
      </c>
      <c r="S275" s="4">
        <f t="shared" si="63"/>
        <v>0</v>
      </c>
      <c r="T275" s="3"/>
      <c r="U275" s="4">
        <f t="shared" si="61"/>
        <v>78000000</v>
      </c>
      <c r="V275">
        <f t="shared" si="62"/>
        <v>644361009345.33679</v>
      </c>
    </row>
    <row r="276" spans="1:22" x14ac:dyDescent="0.5">
      <c r="A276" s="3">
        <v>30</v>
      </c>
      <c r="B276" s="5">
        <v>1</v>
      </c>
      <c r="C276" s="3">
        <v>5</v>
      </c>
      <c r="D276" s="3">
        <v>25</v>
      </c>
      <c r="E276" s="3">
        <v>6.5000000000000002E-2</v>
      </c>
      <c r="F276" s="3">
        <f t="shared" si="55"/>
        <v>3.068385758787318</v>
      </c>
      <c r="G276" s="5">
        <v>0.3</v>
      </c>
      <c r="H276" s="4">
        <v>30000000</v>
      </c>
      <c r="I276" s="4">
        <f t="shared" si="65"/>
        <v>30000000</v>
      </c>
      <c r="J276" s="3">
        <v>210000000000</v>
      </c>
      <c r="K276" s="4">
        <f t="shared" si="66"/>
        <v>8.3700019182102431E-2</v>
      </c>
      <c r="L276" s="6">
        <f t="shared" si="56"/>
        <v>2.0925004795525606</v>
      </c>
      <c r="M276" s="4">
        <f t="shared" si="57"/>
        <v>25300055.286992632</v>
      </c>
      <c r="N276" s="4">
        <f t="shared" si="58"/>
        <v>3162506910.8740792</v>
      </c>
      <c r="O276" s="4">
        <f t="shared" si="59"/>
        <v>658855606432.09985</v>
      </c>
      <c r="P276" s="4">
        <f t="shared" si="60"/>
        <v>-39531336385.925987</v>
      </c>
      <c r="Q276" s="4">
        <f t="shared" si="63"/>
        <v>0</v>
      </c>
      <c r="R276" s="4">
        <f t="shared" si="63"/>
        <v>0</v>
      </c>
      <c r="S276" s="4">
        <f t="shared" si="63"/>
        <v>0</v>
      </c>
      <c r="T276" s="3"/>
      <c r="U276" s="4">
        <f t="shared" si="61"/>
        <v>78000000</v>
      </c>
      <c r="V276">
        <f t="shared" si="62"/>
        <v>644361009345.33679</v>
      </c>
    </row>
    <row r="277" spans="1:22" x14ac:dyDescent="0.5">
      <c r="A277" s="3">
        <v>30</v>
      </c>
      <c r="B277" s="5">
        <v>1</v>
      </c>
      <c r="C277" s="3">
        <v>5</v>
      </c>
      <c r="D277" s="3">
        <v>25</v>
      </c>
      <c r="E277" s="3">
        <v>6.5000000000000002E-2</v>
      </c>
      <c r="F277" s="3">
        <f t="shared" si="55"/>
        <v>3.068385758787318</v>
      </c>
      <c r="G277" s="5">
        <v>0.3</v>
      </c>
      <c r="H277" s="4">
        <v>30000000</v>
      </c>
      <c r="I277" s="4">
        <f t="shared" si="65"/>
        <v>30000000</v>
      </c>
      <c r="J277" s="3">
        <v>210000000000</v>
      </c>
      <c r="K277" s="4">
        <f t="shared" si="66"/>
        <v>8.3700019182102431E-2</v>
      </c>
      <c r="L277" s="6">
        <f t="shared" si="56"/>
        <v>2.0925004795525606</v>
      </c>
      <c r="M277" s="4">
        <f t="shared" si="57"/>
        <v>25300055.286992632</v>
      </c>
      <c r="N277" s="4">
        <f t="shared" si="58"/>
        <v>3162506910.8740792</v>
      </c>
      <c r="O277" s="4">
        <f t="shared" si="59"/>
        <v>658855606432.09985</v>
      </c>
      <c r="P277" s="4">
        <f t="shared" si="60"/>
        <v>-39531336385.925987</v>
      </c>
      <c r="Q277" s="4">
        <f t="shared" si="63"/>
        <v>0</v>
      </c>
      <c r="R277" s="4">
        <f t="shared" si="63"/>
        <v>0</v>
      </c>
      <c r="S277" s="4">
        <f t="shared" si="63"/>
        <v>0</v>
      </c>
      <c r="T277" s="3"/>
      <c r="U277" s="4">
        <f t="shared" si="61"/>
        <v>78000000</v>
      </c>
      <c r="V277">
        <f t="shared" si="62"/>
        <v>644361009345.33679</v>
      </c>
    </row>
    <row r="278" spans="1:22" x14ac:dyDescent="0.5">
      <c r="A278" s="3">
        <v>30</v>
      </c>
      <c r="B278" s="5">
        <v>1</v>
      </c>
      <c r="C278" s="3">
        <v>5</v>
      </c>
      <c r="D278" s="3">
        <v>25</v>
      </c>
      <c r="E278" s="3">
        <v>6.5000000000000002E-2</v>
      </c>
      <c r="F278" s="3">
        <f t="shared" si="55"/>
        <v>3.068385758787318</v>
      </c>
      <c r="G278" s="5">
        <v>0.3</v>
      </c>
      <c r="H278" s="4">
        <v>30000000</v>
      </c>
      <c r="I278" s="4">
        <f t="shared" si="65"/>
        <v>30000000</v>
      </c>
      <c r="J278" s="3">
        <v>210000000000</v>
      </c>
      <c r="K278" s="4">
        <f t="shared" si="66"/>
        <v>8.3700019182102431E-2</v>
      </c>
      <c r="L278" s="6">
        <f t="shared" si="56"/>
        <v>2.0925004795525606</v>
      </c>
      <c r="M278" s="4">
        <f t="shared" si="57"/>
        <v>25300055.286992632</v>
      </c>
      <c r="N278" s="4">
        <f t="shared" si="58"/>
        <v>3162506910.8740792</v>
      </c>
      <c r="O278" s="4">
        <f t="shared" si="59"/>
        <v>658855606432.09985</v>
      </c>
      <c r="P278" s="4">
        <f t="shared" si="60"/>
        <v>-39531336385.925987</v>
      </c>
      <c r="Q278" s="4">
        <f t="shared" si="63"/>
        <v>0</v>
      </c>
      <c r="R278" s="4">
        <f t="shared" si="63"/>
        <v>0</v>
      </c>
      <c r="S278" s="4">
        <f t="shared" si="63"/>
        <v>0</v>
      </c>
      <c r="T278" s="3"/>
      <c r="U278" s="4">
        <f t="shared" si="61"/>
        <v>78000000</v>
      </c>
      <c r="V278">
        <f t="shared" si="62"/>
        <v>644361009345.33679</v>
      </c>
    </row>
    <row r="279" spans="1:22" x14ac:dyDescent="0.5">
      <c r="A279" s="3">
        <v>30</v>
      </c>
      <c r="B279" s="3">
        <v>0.99743918099999995</v>
      </c>
      <c r="C279" s="3">
        <v>5</v>
      </c>
      <c r="D279" s="3">
        <v>25</v>
      </c>
      <c r="E279" s="3">
        <v>6.5000000000000002E-2</v>
      </c>
      <c r="F279" s="3">
        <f t="shared" si="55"/>
        <v>3.068385758787318</v>
      </c>
      <c r="G279" s="5">
        <v>0.3</v>
      </c>
      <c r="H279" s="4">
        <v>30000000</v>
      </c>
      <c r="I279" s="4">
        <f t="shared" si="65"/>
        <v>29923175.43</v>
      </c>
      <c r="J279" s="3">
        <v>210000000000</v>
      </c>
      <c r="K279" s="4">
        <f t="shared" si="66"/>
        <v>8.3700019182102431E-2</v>
      </c>
      <c r="L279" s="6">
        <f t="shared" si="56"/>
        <v>2.0925004795525606</v>
      </c>
      <c r="M279" s="4">
        <f t="shared" si="57"/>
        <v>25229874.847831346</v>
      </c>
      <c r="N279" s="4">
        <f t="shared" si="58"/>
        <v>3153734355.9789181</v>
      </c>
      <c r="O279" s="4">
        <f t="shared" si="59"/>
        <v>657027990828.94128</v>
      </c>
      <c r="P279" s="4">
        <f t="shared" si="60"/>
        <v>-39421679449.736473</v>
      </c>
      <c r="Q279" s="4">
        <f t="shared" si="63"/>
        <v>8772554.8951611519</v>
      </c>
      <c r="R279" s="4">
        <f t="shared" si="63"/>
        <v>1827615603.1585693</v>
      </c>
      <c r="S279" s="4">
        <f t="shared" si="63"/>
        <v>-109656936.18951416</v>
      </c>
      <c r="T279" s="3"/>
      <c r="U279" s="4">
        <f t="shared" si="61"/>
        <v>77800256.118000001</v>
      </c>
      <c r="V279">
        <f t="shared" si="62"/>
        <v>644361009345.33679</v>
      </c>
    </row>
    <row r="280" spans="1:22" x14ac:dyDescent="0.5">
      <c r="A280" s="3">
        <v>30</v>
      </c>
      <c r="B280" s="3">
        <v>0.98975672199999998</v>
      </c>
      <c r="C280" s="3">
        <v>5</v>
      </c>
      <c r="D280" s="3">
        <v>25</v>
      </c>
      <c r="E280" s="3">
        <v>6.5000000000000002E-2</v>
      </c>
      <c r="F280" s="3">
        <f t="shared" si="55"/>
        <v>3.068385758787318</v>
      </c>
      <c r="G280" s="5">
        <v>0.3</v>
      </c>
      <c r="H280" s="4">
        <v>30000000</v>
      </c>
      <c r="I280" s="4">
        <f t="shared" si="65"/>
        <v>29692701.66</v>
      </c>
      <c r="J280" s="3">
        <v>210000000000</v>
      </c>
      <c r="K280" s="4">
        <f t="shared" si="66"/>
        <v>8.3700019182102431E-2</v>
      </c>
      <c r="L280" s="6">
        <f t="shared" si="56"/>
        <v>2.0925004795525606</v>
      </c>
      <c r="M280" s="4">
        <f t="shared" si="57"/>
        <v>25019423.698299687</v>
      </c>
      <c r="N280" s="4">
        <f t="shared" si="58"/>
        <v>3127427962.2874608</v>
      </c>
      <c r="O280" s="4">
        <f t="shared" si="59"/>
        <v>651547492143.22107</v>
      </c>
      <c r="P280" s="4">
        <f t="shared" si="60"/>
        <v>-39092849528.593262</v>
      </c>
      <c r="Q280" s="4">
        <f t="shared" si="63"/>
        <v>26306393.691457272</v>
      </c>
      <c r="R280" s="4">
        <f t="shared" si="63"/>
        <v>5480498685.7202148</v>
      </c>
      <c r="S280" s="4">
        <f t="shared" si="63"/>
        <v>-328829921.14321136</v>
      </c>
      <c r="T280" s="3"/>
      <c r="U280" s="4">
        <f t="shared" si="61"/>
        <v>77201024.316</v>
      </c>
      <c r="V280">
        <f t="shared" si="62"/>
        <v>644361009345.33679</v>
      </c>
    </row>
    <row r="281" spans="1:22" x14ac:dyDescent="0.5">
      <c r="A281" s="3">
        <v>30</v>
      </c>
      <c r="B281" s="3">
        <v>0.98079385399999996</v>
      </c>
      <c r="C281" s="3">
        <v>5</v>
      </c>
      <c r="D281" s="3">
        <v>25</v>
      </c>
      <c r="E281" s="3">
        <v>6.5000000000000002E-2</v>
      </c>
      <c r="F281" s="3">
        <f t="shared" si="55"/>
        <v>3.068385758787318</v>
      </c>
      <c r="G281" s="5">
        <v>0.3</v>
      </c>
      <c r="H281" s="4">
        <v>30000000</v>
      </c>
      <c r="I281" s="4">
        <f t="shared" si="65"/>
        <v>29423815.619999997</v>
      </c>
      <c r="J281" s="3">
        <v>210000000000</v>
      </c>
      <c r="K281" s="4">
        <f t="shared" si="66"/>
        <v>8.3700019182102431E-2</v>
      </c>
      <c r="L281" s="6">
        <f t="shared" si="56"/>
        <v>2.0925004795525606</v>
      </c>
      <c r="M281" s="4">
        <f t="shared" si="57"/>
        <v>24774069.442732025</v>
      </c>
      <c r="N281" s="4">
        <f t="shared" si="58"/>
        <v>3096758680.3415031</v>
      </c>
      <c r="O281" s="4">
        <f t="shared" si="59"/>
        <v>645158058404.47986</v>
      </c>
      <c r="P281" s="4">
        <f t="shared" si="60"/>
        <v>-38709483504.268791</v>
      </c>
      <c r="Q281" s="4">
        <f t="shared" si="63"/>
        <v>30669281.945957661</v>
      </c>
      <c r="R281" s="4">
        <f t="shared" si="63"/>
        <v>6389433738.7412109</v>
      </c>
      <c r="S281" s="4">
        <f t="shared" si="63"/>
        <v>-383366024.32447052</v>
      </c>
      <c r="T281" s="3"/>
      <c r="U281" s="4">
        <f t="shared" si="61"/>
        <v>76501920.611999989</v>
      </c>
      <c r="V281">
        <f t="shared" si="62"/>
        <v>644361009345.33679</v>
      </c>
    </row>
    <row r="282" spans="1:22" x14ac:dyDescent="0.5">
      <c r="A282" s="3">
        <v>30</v>
      </c>
      <c r="B282" s="3">
        <v>0.97055057600000005</v>
      </c>
      <c r="C282" s="3">
        <v>5</v>
      </c>
      <c r="D282" s="3">
        <v>25</v>
      </c>
      <c r="E282" s="3">
        <v>6.5000000000000002E-2</v>
      </c>
      <c r="F282" s="3">
        <f t="shared" si="55"/>
        <v>3.068385758787318</v>
      </c>
      <c r="G282" s="5">
        <v>0.3</v>
      </c>
      <c r="H282" s="4">
        <v>30000000</v>
      </c>
      <c r="I282" s="4">
        <f t="shared" si="65"/>
        <v>29116517.280000001</v>
      </c>
      <c r="J282" s="3">
        <v>210000000000</v>
      </c>
      <c r="K282" s="4">
        <f t="shared" si="66"/>
        <v>8.3700019182102431E-2</v>
      </c>
      <c r="L282" s="6">
        <f t="shared" si="56"/>
        <v>2.0925004795525606</v>
      </c>
      <c r="M282" s="4">
        <f t="shared" si="57"/>
        <v>24493893.368927479</v>
      </c>
      <c r="N282" s="4">
        <f t="shared" si="58"/>
        <v>3061736671.1159348</v>
      </c>
      <c r="O282" s="4">
        <f t="shared" si="59"/>
        <v>637861806482.48645</v>
      </c>
      <c r="P282" s="4">
        <f t="shared" si="60"/>
        <v>-38271708388.949188</v>
      </c>
      <c r="Q282" s="4">
        <f t="shared" si="63"/>
        <v>35022009.225568295</v>
      </c>
      <c r="R282" s="4">
        <f t="shared" si="63"/>
        <v>7296251921.9934082</v>
      </c>
      <c r="S282" s="4">
        <f t="shared" si="63"/>
        <v>-437775115.31960297</v>
      </c>
      <c r="T282" s="3"/>
      <c r="U282" s="4">
        <f t="shared" si="61"/>
        <v>75702944.928000003</v>
      </c>
      <c r="V282">
        <f t="shared" si="62"/>
        <v>644361009345.33679</v>
      </c>
    </row>
    <row r="283" spans="1:22" x14ac:dyDescent="0.5">
      <c r="A283" s="3">
        <v>30</v>
      </c>
      <c r="B283" s="3">
        <v>0.95838668400000004</v>
      </c>
      <c r="C283" s="3">
        <v>5</v>
      </c>
      <c r="D283" s="3">
        <v>25</v>
      </c>
      <c r="E283" s="3">
        <v>6.5000000000000002E-2</v>
      </c>
      <c r="F283" s="3">
        <f t="shared" si="55"/>
        <v>3.068385758787318</v>
      </c>
      <c r="G283" s="5">
        <v>0.3</v>
      </c>
      <c r="H283" s="4">
        <v>30000000</v>
      </c>
      <c r="I283" s="4">
        <f t="shared" si="65"/>
        <v>28751600.52</v>
      </c>
      <c r="J283" s="3">
        <v>210000000000</v>
      </c>
      <c r="K283" s="4">
        <f t="shared" si="66"/>
        <v>8.3700019182102431E-2</v>
      </c>
      <c r="L283" s="6">
        <f t="shared" si="56"/>
        <v>2.0925004795525606</v>
      </c>
      <c r="M283" s="4">
        <f t="shared" si="57"/>
        <v>24161504.411227446</v>
      </c>
      <c r="N283" s="4">
        <f t="shared" si="58"/>
        <v>3020188051.4034309</v>
      </c>
      <c r="O283" s="4">
        <f t="shared" si="59"/>
        <v>629205844042.38147</v>
      </c>
      <c r="P283" s="4">
        <f t="shared" si="60"/>
        <v>-37752350642.542885</v>
      </c>
      <c r="Q283" s="4">
        <f t="shared" si="63"/>
        <v>41548619.71250391</v>
      </c>
      <c r="R283" s="4">
        <f t="shared" si="63"/>
        <v>8655962440.1049805</v>
      </c>
      <c r="S283" s="4">
        <f t="shared" si="63"/>
        <v>-519357746.40630341</v>
      </c>
      <c r="T283" s="3"/>
      <c r="U283" s="4">
        <f t="shared" si="61"/>
        <v>74754161.351999998</v>
      </c>
      <c r="V283">
        <f t="shared" si="62"/>
        <v>644361009345.33679</v>
      </c>
    </row>
    <row r="284" spans="1:22" x14ac:dyDescent="0.5">
      <c r="A284" s="3">
        <v>30</v>
      </c>
      <c r="B284" s="3">
        <v>0.94430217699999996</v>
      </c>
      <c r="C284" s="3">
        <v>5</v>
      </c>
      <c r="D284" s="3">
        <v>25</v>
      </c>
      <c r="E284" s="3">
        <v>6.5000000000000002E-2</v>
      </c>
      <c r="F284" s="3">
        <f t="shared" si="55"/>
        <v>3.068385758787318</v>
      </c>
      <c r="G284" s="5">
        <v>0.3</v>
      </c>
      <c r="H284" s="4">
        <v>30000000</v>
      </c>
      <c r="I284" s="4">
        <f t="shared" si="65"/>
        <v>28329065.309999999</v>
      </c>
      <c r="J284" s="3">
        <v>210000000000</v>
      </c>
      <c r="K284" s="4">
        <f t="shared" si="66"/>
        <v>8.3700019182102431E-2</v>
      </c>
      <c r="L284" s="6">
        <f t="shared" si="56"/>
        <v>2.0925004795525606</v>
      </c>
      <c r="M284" s="4">
        <f t="shared" si="57"/>
        <v>23777072.22760712</v>
      </c>
      <c r="N284" s="4">
        <f t="shared" si="58"/>
        <v>2972134028.4508901</v>
      </c>
      <c r="O284" s="4">
        <f t="shared" si="59"/>
        <v>619194589260.60205</v>
      </c>
      <c r="P284" s="4">
        <f t="shared" si="60"/>
        <v>-37151675355.636124</v>
      </c>
      <c r="Q284" s="4">
        <f t="shared" si="63"/>
        <v>48054022.952540874</v>
      </c>
      <c r="R284" s="4">
        <f t="shared" si="63"/>
        <v>10011254781.779419</v>
      </c>
      <c r="S284" s="4">
        <f t="shared" si="63"/>
        <v>-600675286.90676117</v>
      </c>
      <c r="T284" s="3"/>
      <c r="U284" s="4">
        <f t="shared" si="61"/>
        <v>73655569.805999994</v>
      </c>
      <c r="V284">
        <f t="shared" si="62"/>
        <v>644361009345.33679</v>
      </c>
    </row>
    <row r="285" spans="1:22" x14ac:dyDescent="0.5">
      <c r="A285" s="3">
        <v>30</v>
      </c>
      <c r="B285" s="3">
        <v>0.92637643999999997</v>
      </c>
      <c r="C285" s="3">
        <v>5</v>
      </c>
      <c r="D285" s="3">
        <v>25</v>
      </c>
      <c r="E285" s="3">
        <v>6.5000000000000002E-2</v>
      </c>
      <c r="F285" s="3">
        <f t="shared" si="55"/>
        <v>3.068385758787318</v>
      </c>
      <c r="G285" s="5">
        <v>0.3</v>
      </c>
      <c r="H285" s="4">
        <v>30000000</v>
      </c>
      <c r="I285" s="4">
        <f t="shared" si="65"/>
        <v>27791293.199999999</v>
      </c>
      <c r="J285" s="3">
        <v>210000000000</v>
      </c>
      <c r="K285" s="4">
        <f t="shared" si="66"/>
        <v>8.3700019182102431E-2</v>
      </c>
      <c r="L285" s="6">
        <f t="shared" si="56"/>
        <v>2.0925004795525606</v>
      </c>
      <c r="M285" s="4">
        <f t="shared" si="57"/>
        <v>23288486.411984187</v>
      </c>
      <c r="N285" s="4">
        <f t="shared" si="58"/>
        <v>2911060801.4980235</v>
      </c>
      <c r="O285" s="4">
        <f t="shared" si="59"/>
        <v>606471000312.08826</v>
      </c>
      <c r="P285" s="4">
        <f t="shared" si="60"/>
        <v>-36388260018.725296</v>
      </c>
      <c r="Q285" s="4">
        <f t="shared" si="63"/>
        <v>61073226.952866554</v>
      </c>
      <c r="R285" s="4">
        <f t="shared" si="63"/>
        <v>12723588948.513794</v>
      </c>
      <c r="S285" s="4">
        <f t="shared" si="63"/>
        <v>-763415336.91082764</v>
      </c>
      <c r="T285" s="3"/>
      <c r="U285" s="4">
        <f t="shared" si="61"/>
        <v>72257362.320000008</v>
      </c>
      <c r="V285">
        <f t="shared" si="62"/>
        <v>644361009345.33679</v>
      </c>
    </row>
    <row r="286" spans="1:22" x14ac:dyDescent="0.5">
      <c r="A286" s="3">
        <v>30</v>
      </c>
      <c r="B286" s="3">
        <v>0.90717029400000004</v>
      </c>
      <c r="C286" s="3">
        <v>5</v>
      </c>
      <c r="D286" s="3">
        <v>25</v>
      </c>
      <c r="E286" s="3">
        <v>6.5000000000000002E-2</v>
      </c>
      <c r="F286" s="3">
        <f t="shared" si="55"/>
        <v>3.068385758787318</v>
      </c>
      <c r="G286" s="5">
        <v>0.3</v>
      </c>
      <c r="H286" s="4">
        <v>30000000</v>
      </c>
      <c r="I286" s="4">
        <f t="shared" si="65"/>
        <v>27215108.82</v>
      </c>
      <c r="J286" s="3">
        <v>210000000000</v>
      </c>
      <c r="K286" s="4">
        <f t="shared" si="66"/>
        <v>8.3700019182102431E-2</v>
      </c>
      <c r="L286" s="6">
        <f t="shared" si="56"/>
        <v>2.0925004795525606</v>
      </c>
      <c r="M286" s="4">
        <f t="shared" si="57"/>
        <v>22765875.634836905</v>
      </c>
      <c r="N286" s="4">
        <f t="shared" si="58"/>
        <v>2845734454.3546133</v>
      </c>
      <c r="O286" s="4">
        <f t="shared" si="59"/>
        <v>592861344657.21106</v>
      </c>
      <c r="P286" s="4">
        <f t="shared" si="60"/>
        <v>-35571680679.432663</v>
      </c>
      <c r="Q286" s="4">
        <f t="shared" si="63"/>
        <v>65326347.143410206</v>
      </c>
      <c r="R286" s="4">
        <f t="shared" si="63"/>
        <v>13609655654.877197</v>
      </c>
      <c r="S286" s="4">
        <f t="shared" si="63"/>
        <v>-816579339.29263306</v>
      </c>
      <c r="T286" s="3"/>
      <c r="U286" s="4">
        <f t="shared" si="61"/>
        <v>70759282.931999996</v>
      </c>
      <c r="V286">
        <f t="shared" si="62"/>
        <v>644361009345.33679</v>
      </c>
    </row>
    <row r="287" spans="1:22" x14ac:dyDescent="0.5">
      <c r="A287" s="3">
        <v>30</v>
      </c>
      <c r="B287" s="3">
        <v>0.87900128</v>
      </c>
      <c r="C287" s="3">
        <v>5</v>
      </c>
      <c r="D287" s="3">
        <v>25</v>
      </c>
      <c r="E287" s="3">
        <v>6.5000000000000002E-2</v>
      </c>
      <c r="F287" s="3">
        <f t="shared" si="55"/>
        <v>3.068385758787318</v>
      </c>
      <c r="G287" s="5">
        <v>0.3</v>
      </c>
      <c r="H287" s="4">
        <v>30000000</v>
      </c>
      <c r="I287" s="4">
        <f t="shared" si="65"/>
        <v>26370038.399999999</v>
      </c>
      <c r="J287" s="3">
        <v>210000000000</v>
      </c>
      <c r="K287" s="4">
        <f t="shared" si="66"/>
        <v>8.3700019182102431E-2</v>
      </c>
      <c r="L287" s="6">
        <f t="shared" si="56"/>
        <v>2.0925004795525606</v>
      </c>
      <c r="M287" s="4">
        <f t="shared" si="57"/>
        <v>22001051.451474681</v>
      </c>
      <c r="N287" s="4">
        <f t="shared" si="58"/>
        <v>2750131431.4343352</v>
      </c>
      <c r="O287" s="4">
        <f t="shared" si="59"/>
        <v>572944048215.48645</v>
      </c>
      <c r="P287" s="4">
        <f t="shared" si="60"/>
        <v>-34376642892.929192</v>
      </c>
      <c r="Q287" s="4">
        <f t="shared" si="63"/>
        <v>95603022.920278072</v>
      </c>
      <c r="R287" s="4">
        <f t="shared" si="63"/>
        <v>19917296441.724609</v>
      </c>
      <c r="S287" s="4">
        <f t="shared" si="63"/>
        <v>-1195037786.5034714</v>
      </c>
      <c r="T287" s="3"/>
      <c r="U287" s="4">
        <f t="shared" si="61"/>
        <v>68562099.840000004</v>
      </c>
      <c r="V287">
        <f t="shared" si="62"/>
        <v>644361009345.33679</v>
      </c>
    </row>
    <row r="288" spans="1:22" x14ac:dyDescent="0.5">
      <c r="A288" s="3">
        <v>30</v>
      </c>
      <c r="B288" s="3">
        <v>0.85147247100000001</v>
      </c>
      <c r="C288" s="3">
        <v>5</v>
      </c>
      <c r="D288" s="3">
        <v>25</v>
      </c>
      <c r="E288" s="3">
        <v>6.5000000000000002E-2</v>
      </c>
      <c r="F288" s="3">
        <f t="shared" si="55"/>
        <v>3.068385758787318</v>
      </c>
      <c r="G288" s="5">
        <v>0.3</v>
      </c>
      <c r="H288" s="4">
        <v>30000000</v>
      </c>
      <c r="I288" s="4">
        <f t="shared" si="65"/>
        <v>25544174.129999999</v>
      </c>
      <c r="J288" s="3">
        <v>210000000000</v>
      </c>
      <c r="K288" s="4">
        <f t="shared" si="66"/>
        <v>8.3700019182102431E-2</v>
      </c>
      <c r="L288" s="6">
        <f t="shared" si="56"/>
        <v>2.0925004795525606</v>
      </c>
      <c r="M288" s="4">
        <f t="shared" si="57"/>
        <v>21255580.28327382</v>
      </c>
      <c r="N288" s="4">
        <f t="shared" si="58"/>
        <v>2656947535.4092274</v>
      </c>
      <c r="O288" s="4">
        <f t="shared" si="59"/>
        <v>553530736543.58899</v>
      </c>
      <c r="P288" s="4">
        <f t="shared" si="60"/>
        <v>-33211844192.615341</v>
      </c>
      <c r="Q288" s="4">
        <f t="shared" si="63"/>
        <v>93183896.025107861</v>
      </c>
      <c r="R288" s="4">
        <f t="shared" si="63"/>
        <v>19413311671.897461</v>
      </c>
      <c r="S288" s="4">
        <f t="shared" si="63"/>
        <v>-1164798700.3138504</v>
      </c>
      <c r="T288" s="3"/>
      <c r="U288" s="4">
        <f t="shared" si="61"/>
        <v>66414852.737999998</v>
      </c>
      <c r="V288">
        <f t="shared" si="62"/>
        <v>644361009345.33679</v>
      </c>
    </row>
    <row r="289" spans="1:22" x14ac:dyDescent="0.5">
      <c r="A289" s="3">
        <v>30</v>
      </c>
      <c r="B289" s="3">
        <v>0.82138284299999997</v>
      </c>
      <c r="C289" s="3">
        <v>5</v>
      </c>
      <c r="D289" s="3">
        <v>25</v>
      </c>
      <c r="E289" s="3">
        <v>6.5000000000000002E-2</v>
      </c>
      <c r="F289" s="3">
        <f t="shared" si="55"/>
        <v>3.068385758787318</v>
      </c>
      <c r="G289" s="5">
        <v>0.3</v>
      </c>
      <c r="H289" s="4">
        <v>30000000</v>
      </c>
      <c r="I289" s="4">
        <f t="shared" si="65"/>
        <v>24641485.289999999</v>
      </c>
      <c r="J289" s="3">
        <v>210000000000</v>
      </c>
      <c r="K289" s="4">
        <f t="shared" si="66"/>
        <v>8.3700019182102431E-2</v>
      </c>
      <c r="L289" s="6">
        <f t="shared" si="56"/>
        <v>2.0925004795525606</v>
      </c>
      <c r="M289" s="4">
        <f t="shared" si="57"/>
        <v>20443059.825143158</v>
      </c>
      <c r="N289" s="4">
        <f t="shared" si="58"/>
        <v>2555382478.1428947</v>
      </c>
      <c r="O289" s="4">
        <f t="shared" si="59"/>
        <v>532371349613.10309</v>
      </c>
      <c r="P289" s="4">
        <f t="shared" si="60"/>
        <v>-31942280976.786186</v>
      </c>
      <c r="Q289" s="4">
        <f t="shared" si="63"/>
        <v>101565057.26633263</v>
      </c>
      <c r="R289" s="4">
        <f t="shared" si="63"/>
        <v>21159386930.485901</v>
      </c>
      <c r="S289" s="4">
        <f t="shared" si="63"/>
        <v>-1269563215.829155</v>
      </c>
      <c r="T289" s="3"/>
      <c r="U289" s="4">
        <f t="shared" si="61"/>
        <v>64067861.754000001</v>
      </c>
      <c r="V289">
        <f t="shared" si="62"/>
        <v>644361009345.33679</v>
      </c>
    </row>
    <row r="290" spans="1:22" x14ac:dyDescent="0.5">
      <c r="A290" s="3">
        <v>30</v>
      </c>
      <c r="B290" s="3">
        <v>0.78873239399999995</v>
      </c>
      <c r="C290" s="3">
        <v>5</v>
      </c>
      <c r="D290" s="3">
        <v>25</v>
      </c>
      <c r="E290" s="3">
        <v>6.5000000000000002E-2</v>
      </c>
      <c r="F290" s="3">
        <f t="shared" si="55"/>
        <v>3.068385758787318</v>
      </c>
      <c r="G290" s="5">
        <v>0.3</v>
      </c>
      <c r="H290" s="4">
        <v>30000000</v>
      </c>
      <c r="I290" s="4">
        <f t="shared" si="65"/>
        <v>23661971.819999997</v>
      </c>
      <c r="J290" s="3">
        <v>210000000000</v>
      </c>
      <c r="K290" s="4">
        <f t="shared" si="66"/>
        <v>8.3700019182102431E-2</v>
      </c>
      <c r="L290" s="6">
        <f t="shared" si="56"/>
        <v>2.0925004795525606</v>
      </c>
      <c r="M290" s="4">
        <f t="shared" si="57"/>
        <v>19564193.736259319</v>
      </c>
      <c r="N290" s="4">
        <f t="shared" si="58"/>
        <v>2445524217.0324144</v>
      </c>
      <c r="O290" s="4">
        <f t="shared" si="59"/>
        <v>509484211881.75311</v>
      </c>
      <c r="P290" s="4">
        <f t="shared" si="60"/>
        <v>-30569052712.905182</v>
      </c>
      <c r="Q290" s="4">
        <f t="shared" si="63"/>
        <v>109858261.11048031</v>
      </c>
      <c r="R290" s="4">
        <f t="shared" si="63"/>
        <v>22887137731.349976</v>
      </c>
      <c r="S290" s="4">
        <f t="shared" si="63"/>
        <v>-1373228263.8810043</v>
      </c>
      <c r="T290" s="3"/>
      <c r="U290" s="4">
        <f t="shared" si="61"/>
        <v>61521126.731999993</v>
      </c>
      <c r="V290">
        <f t="shared" si="62"/>
        <v>644361009345.33679</v>
      </c>
    </row>
    <row r="291" spans="1:22" x14ac:dyDescent="0.5">
      <c r="A291" s="3">
        <v>30</v>
      </c>
      <c r="B291" s="3">
        <v>0.751600512</v>
      </c>
      <c r="C291" s="3">
        <v>5</v>
      </c>
      <c r="D291" s="3">
        <v>25</v>
      </c>
      <c r="E291" s="3">
        <v>6.5000000000000002E-2</v>
      </c>
      <c r="F291" s="3">
        <f t="shared" si="55"/>
        <v>3.068385758787318</v>
      </c>
      <c r="G291" s="5">
        <v>0.3</v>
      </c>
      <c r="H291" s="4">
        <v>30000000</v>
      </c>
      <c r="I291" s="4">
        <f t="shared" si="65"/>
        <v>22548015.359999999</v>
      </c>
      <c r="J291" s="3">
        <v>210000000000</v>
      </c>
      <c r="K291" s="4">
        <f t="shared" si="66"/>
        <v>8.3700019182102431E-2</v>
      </c>
      <c r="L291" s="6">
        <f t="shared" si="56"/>
        <v>2.0925004795525606</v>
      </c>
      <c r="M291" s="4">
        <f t="shared" si="57"/>
        <v>18568384.750278637</v>
      </c>
      <c r="N291" s="4">
        <f t="shared" si="58"/>
        <v>2321048093.7848296</v>
      </c>
      <c r="O291" s="4">
        <f t="shared" si="59"/>
        <v>483551686205.17285</v>
      </c>
      <c r="P291" s="4">
        <f t="shared" si="60"/>
        <v>-29013101172.310371</v>
      </c>
      <c r="Q291" s="4">
        <f t="shared" si="63"/>
        <v>124476123.24758482</v>
      </c>
      <c r="R291" s="4">
        <f t="shared" si="63"/>
        <v>25932525676.580261</v>
      </c>
      <c r="S291" s="4">
        <f t="shared" si="63"/>
        <v>-1555951540.5948105</v>
      </c>
      <c r="T291" s="3"/>
      <c r="U291" s="4">
        <f t="shared" si="61"/>
        <v>58624839.935999997</v>
      </c>
      <c r="V291">
        <f t="shared" si="62"/>
        <v>644361009345.33679</v>
      </c>
    </row>
    <row r="292" spans="1:22" x14ac:dyDescent="0.5">
      <c r="A292" s="3">
        <v>30</v>
      </c>
      <c r="B292" s="3">
        <v>0.71318822000000004</v>
      </c>
      <c r="C292" s="3">
        <v>5</v>
      </c>
      <c r="D292" s="3">
        <v>25</v>
      </c>
      <c r="E292" s="3">
        <v>6.5000000000000002E-2</v>
      </c>
      <c r="F292" s="3">
        <f t="shared" si="55"/>
        <v>3.068385758787318</v>
      </c>
      <c r="G292" s="5">
        <v>0.3</v>
      </c>
      <c r="H292" s="4">
        <v>30000000</v>
      </c>
      <c r="I292" s="4">
        <f t="shared" si="65"/>
        <v>21395646.600000001</v>
      </c>
      <c r="J292" s="3">
        <v>210000000000</v>
      </c>
      <c r="K292" s="4">
        <f t="shared" si="66"/>
        <v>8.3700019182102431E-2</v>
      </c>
      <c r="L292" s="6">
        <f t="shared" si="56"/>
        <v>2.0925004795525606</v>
      </c>
      <c r="M292" s="4">
        <f t="shared" si="57"/>
        <v>17542546.84008503</v>
      </c>
      <c r="N292" s="4">
        <f t="shared" si="58"/>
        <v>2192818355.0106287</v>
      </c>
      <c r="O292" s="4">
        <f t="shared" si="59"/>
        <v>456837157293.88092</v>
      </c>
      <c r="P292" s="4">
        <f t="shared" si="60"/>
        <v>-27410229437.632858</v>
      </c>
      <c r="Q292" s="4">
        <f t="shared" si="63"/>
        <v>128229738.77420092</v>
      </c>
      <c r="R292" s="4">
        <f t="shared" si="63"/>
        <v>26714528911.291931</v>
      </c>
      <c r="S292" s="4">
        <f t="shared" si="63"/>
        <v>-1602871734.6775131</v>
      </c>
      <c r="T292" s="3"/>
      <c r="U292" s="4">
        <f t="shared" si="61"/>
        <v>55628681.160000004</v>
      </c>
      <c r="V292">
        <f t="shared" si="62"/>
        <v>644361009345.33679</v>
      </c>
    </row>
    <row r="293" spans="1:22" x14ac:dyDescent="0.5">
      <c r="A293" s="3">
        <v>30</v>
      </c>
      <c r="B293" s="3">
        <v>0.67157490399999997</v>
      </c>
      <c r="C293" s="3">
        <v>5</v>
      </c>
      <c r="D293" s="3">
        <v>25</v>
      </c>
      <c r="E293" s="3">
        <v>6.5000000000000002E-2</v>
      </c>
      <c r="F293" s="3">
        <f t="shared" si="55"/>
        <v>3.068385758787318</v>
      </c>
      <c r="G293" s="5">
        <v>0.3</v>
      </c>
      <c r="H293" s="4">
        <v>30000000</v>
      </c>
      <c r="I293" s="4">
        <f t="shared" si="65"/>
        <v>20147247.119999997</v>
      </c>
      <c r="J293" s="3">
        <v>210000000000</v>
      </c>
      <c r="K293" s="4">
        <f t="shared" si="66"/>
        <v>8.3700019182102431E-2</v>
      </c>
      <c r="L293" s="6">
        <f t="shared" si="56"/>
        <v>2.0925004795525606</v>
      </c>
      <c r="M293" s="4">
        <f t="shared" si="57"/>
        <v>16436416.3485342</v>
      </c>
      <c r="N293" s="4">
        <f t="shared" si="58"/>
        <v>2054552043.5667748</v>
      </c>
      <c r="O293" s="4">
        <f t="shared" si="59"/>
        <v>428031675743.07813</v>
      </c>
      <c r="P293" s="4">
        <f t="shared" si="60"/>
        <v>-25681900544.584686</v>
      </c>
      <c r="Q293" s="4">
        <f t="shared" si="63"/>
        <v>138266311.44385386</v>
      </c>
      <c r="R293" s="4">
        <f t="shared" si="63"/>
        <v>28805481550.802795</v>
      </c>
      <c r="S293" s="4">
        <f t="shared" si="63"/>
        <v>-1728328893.048172</v>
      </c>
      <c r="T293" s="3"/>
      <c r="U293" s="4">
        <f t="shared" si="61"/>
        <v>52382842.511999995</v>
      </c>
      <c r="V293">
        <f t="shared" si="62"/>
        <v>644361009345.33679</v>
      </c>
    </row>
    <row r="294" spans="1:22" x14ac:dyDescent="0.5">
      <c r="A294" s="3">
        <v>30</v>
      </c>
      <c r="B294" s="3">
        <v>0.62804097299999995</v>
      </c>
      <c r="C294" s="3">
        <v>5</v>
      </c>
      <c r="D294" s="3">
        <v>25</v>
      </c>
      <c r="E294" s="3">
        <v>6.5000000000000002E-2</v>
      </c>
      <c r="F294" s="3">
        <f t="shared" si="55"/>
        <v>3.068385758787318</v>
      </c>
      <c r="G294" s="5">
        <v>0.3</v>
      </c>
      <c r="H294" s="4">
        <v>30000000</v>
      </c>
      <c r="I294" s="4">
        <f t="shared" si="65"/>
        <v>18841229.189999998</v>
      </c>
      <c r="J294" s="3">
        <v>210000000000</v>
      </c>
      <c r="K294" s="4">
        <f t="shared" si="66"/>
        <v>8.3700019182102431E-2</v>
      </c>
      <c r="L294" s="6">
        <f t="shared" si="56"/>
        <v>2.0925004795525606</v>
      </c>
      <c r="M294" s="4">
        <f t="shared" si="57"/>
        <v>15285340.330157334</v>
      </c>
      <c r="N294" s="4">
        <f t="shared" si="58"/>
        <v>1910667541.2696667</v>
      </c>
      <c r="O294" s="4">
        <f t="shared" si="59"/>
        <v>398055737764.51392</v>
      </c>
      <c r="P294" s="4">
        <f t="shared" si="60"/>
        <v>-23883344265.870834</v>
      </c>
      <c r="Q294" s="4">
        <f t="shared" si="63"/>
        <v>143884502.29710817</v>
      </c>
      <c r="R294" s="4">
        <f t="shared" si="63"/>
        <v>29975937978.564209</v>
      </c>
      <c r="S294" s="4">
        <f t="shared" si="63"/>
        <v>-1798556278.7138519</v>
      </c>
      <c r="T294" s="3"/>
      <c r="U294" s="4">
        <f t="shared" si="61"/>
        <v>48987195.893999994</v>
      </c>
      <c r="V294">
        <f t="shared" si="62"/>
        <v>644361009345.33679</v>
      </c>
    </row>
    <row r="295" spans="1:22" x14ac:dyDescent="0.5">
      <c r="A295" s="3">
        <v>30</v>
      </c>
      <c r="B295" s="3">
        <v>0.58450704200000003</v>
      </c>
      <c r="C295" s="3">
        <v>5</v>
      </c>
      <c r="D295" s="3">
        <v>25</v>
      </c>
      <c r="E295" s="3">
        <v>6.5000000000000002E-2</v>
      </c>
      <c r="F295" s="3">
        <f t="shared" si="55"/>
        <v>3.068385758787318</v>
      </c>
      <c r="G295" s="5">
        <v>0.3</v>
      </c>
      <c r="H295" s="4">
        <v>30000000</v>
      </c>
      <c r="I295" s="4">
        <f t="shared" si="65"/>
        <v>17535211.260000002</v>
      </c>
      <c r="J295" s="3">
        <v>210000000000</v>
      </c>
      <c r="K295" s="4">
        <f t="shared" si="66"/>
        <v>8.3700019182102431E-2</v>
      </c>
      <c r="L295" s="6">
        <f t="shared" si="56"/>
        <v>2.0925004795525606</v>
      </c>
      <c r="M295" s="4">
        <f t="shared" si="57"/>
        <v>14140899.324505476</v>
      </c>
      <c r="N295" s="4">
        <f t="shared" si="58"/>
        <v>1767612415.5631845</v>
      </c>
      <c r="O295" s="4">
        <f t="shared" si="59"/>
        <v>368252586575.66339</v>
      </c>
      <c r="P295" s="4">
        <f t="shared" si="60"/>
        <v>-22095155194.539806</v>
      </c>
      <c r="Q295" s="4">
        <f t="shared" si="63"/>
        <v>143055125.70648217</v>
      </c>
      <c r="R295" s="4">
        <f t="shared" si="63"/>
        <v>29803151188.850525</v>
      </c>
      <c r="S295" s="4">
        <f t="shared" si="63"/>
        <v>-1788189071.331028</v>
      </c>
      <c r="T295" s="3"/>
      <c r="U295" s="4">
        <f t="shared" si="61"/>
        <v>45591549.276000008</v>
      </c>
      <c r="V295">
        <f t="shared" si="62"/>
        <v>644361009345.33679</v>
      </c>
    </row>
    <row r="296" spans="1:22" x14ac:dyDescent="0.5">
      <c r="A296" s="3">
        <v>30</v>
      </c>
      <c r="B296" s="3">
        <v>0.54161331599999996</v>
      </c>
      <c r="C296" s="3">
        <v>5</v>
      </c>
      <c r="D296" s="3">
        <v>25</v>
      </c>
      <c r="E296" s="3">
        <v>6.5000000000000002E-2</v>
      </c>
      <c r="F296" s="3">
        <f t="shared" si="55"/>
        <v>3.068385758787318</v>
      </c>
      <c r="G296" s="5">
        <v>0.3</v>
      </c>
      <c r="H296" s="4">
        <v>30000000</v>
      </c>
      <c r="I296" s="4">
        <f t="shared" si="65"/>
        <v>16248399.479999999</v>
      </c>
      <c r="J296" s="3">
        <v>210000000000</v>
      </c>
      <c r="K296" s="4">
        <f t="shared" si="66"/>
        <v>8.3700019182102431E-2</v>
      </c>
      <c r="L296" s="6">
        <f t="shared" si="56"/>
        <v>2.0925004795525606</v>
      </c>
      <c r="M296" s="4">
        <f t="shared" si="57"/>
        <v>13020217.765556574</v>
      </c>
      <c r="N296" s="4">
        <f t="shared" si="58"/>
        <v>1627527220.6945717</v>
      </c>
      <c r="O296" s="4">
        <f t="shared" si="59"/>
        <v>339068170978.03577</v>
      </c>
      <c r="P296" s="4">
        <f t="shared" si="60"/>
        <v>-20344090258.682148</v>
      </c>
      <c r="Q296" s="4">
        <f t="shared" si="63"/>
        <v>140085194.86861277</v>
      </c>
      <c r="R296" s="4">
        <f t="shared" si="63"/>
        <v>29184415597.627625</v>
      </c>
      <c r="S296" s="4">
        <f t="shared" si="63"/>
        <v>-1751064935.8576584</v>
      </c>
      <c r="T296" s="3"/>
      <c r="U296" s="4">
        <f t="shared" si="61"/>
        <v>42245838.647999994</v>
      </c>
      <c r="V296">
        <f t="shared" si="62"/>
        <v>644361009345.33679</v>
      </c>
    </row>
    <row r="297" spans="1:22" x14ac:dyDescent="0.5">
      <c r="A297" s="3">
        <v>30</v>
      </c>
      <c r="B297" s="3">
        <v>0.5</v>
      </c>
      <c r="C297" s="3">
        <v>5</v>
      </c>
      <c r="D297" s="3">
        <v>25</v>
      </c>
      <c r="E297" s="3">
        <v>6.5000000000000002E-2</v>
      </c>
      <c r="F297" s="3">
        <f t="shared" si="55"/>
        <v>3.068385758787318</v>
      </c>
      <c r="G297" s="5">
        <v>0.3</v>
      </c>
      <c r="H297" s="4">
        <v>30000000</v>
      </c>
      <c r="I297" s="4">
        <f t="shared" si="65"/>
        <v>15000000</v>
      </c>
      <c r="J297" s="3">
        <v>210000000000</v>
      </c>
      <c r="K297" s="4">
        <f t="shared" si="66"/>
        <v>8.3700019182102431E-2</v>
      </c>
      <c r="L297" s="6">
        <f t="shared" si="56"/>
        <v>2.0925004795525606</v>
      </c>
      <c r="M297" s="4">
        <f t="shared" si="57"/>
        <v>11940036.147409508</v>
      </c>
      <c r="N297" s="4">
        <f t="shared" si="58"/>
        <v>1492504518.4261885</v>
      </c>
      <c r="O297" s="4">
        <f t="shared" si="59"/>
        <v>310938441338.78925</v>
      </c>
      <c r="P297" s="4">
        <f t="shared" si="60"/>
        <v>-18656306480.327354</v>
      </c>
      <c r="Q297" s="4">
        <f t="shared" si="63"/>
        <v>135022702.26838326</v>
      </c>
      <c r="R297" s="4">
        <f t="shared" si="63"/>
        <v>28129729639.246521</v>
      </c>
      <c r="S297" s="4">
        <f t="shared" si="63"/>
        <v>-1687783778.3547935</v>
      </c>
      <c r="T297" s="3"/>
      <c r="U297" s="4">
        <f t="shared" si="61"/>
        <v>39000000</v>
      </c>
      <c r="V297">
        <f t="shared" si="62"/>
        <v>644361009345.33679</v>
      </c>
    </row>
    <row r="298" spans="1:22" x14ac:dyDescent="0.5">
      <c r="A298" s="3">
        <v>30</v>
      </c>
      <c r="B298" s="3">
        <v>0.45710627399999998</v>
      </c>
      <c r="C298" s="3">
        <v>5</v>
      </c>
      <c r="D298" s="3">
        <v>25</v>
      </c>
      <c r="E298" s="3">
        <v>6.5000000000000002E-2</v>
      </c>
      <c r="F298" s="3">
        <f t="shared" si="55"/>
        <v>3.068385758787318</v>
      </c>
      <c r="G298" s="5">
        <v>0.3</v>
      </c>
      <c r="H298" s="4">
        <v>30000000</v>
      </c>
      <c r="I298" s="4">
        <f t="shared" si="65"/>
        <v>13713188.219999999</v>
      </c>
      <c r="J298" s="3">
        <v>210000000000</v>
      </c>
      <c r="K298" s="4">
        <f t="shared" si="66"/>
        <v>8.3700019182102431E-2</v>
      </c>
      <c r="L298" s="6">
        <f t="shared" si="56"/>
        <v>2.0925004795525606</v>
      </c>
      <c r="M298" s="4">
        <f t="shared" si="57"/>
        <v>10834447.038141917</v>
      </c>
      <c r="N298" s="4">
        <f t="shared" si="58"/>
        <v>1354305879.7677398</v>
      </c>
      <c r="O298" s="4">
        <f t="shared" si="59"/>
        <v>282147058284.9458</v>
      </c>
      <c r="P298" s="4">
        <f t="shared" si="60"/>
        <v>-16928823497.096746</v>
      </c>
      <c r="Q298" s="4">
        <f t="shared" si="63"/>
        <v>138198638.6584487</v>
      </c>
      <c r="R298" s="4">
        <f t="shared" si="63"/>
        <v>28791383053.843445</v>
      </c>
      <c r="S298" s="4">
        <f t="shared" si="63"/>
        <v>-1727482983.230608</v>
      </c>
      <c r="T298" s="3"/>
      <c r="U298" s="4">
        <f t="shared" si="61"/>
        <v>35654289.372000001</v>
      </c>
      <c r="V298">
        <f t="shared" si="62"/>
        <v>644361009345.33679</v>
      </c>
    </row>
    <row r="299" spans="1:22" x14ac:dyDescent="0.5">
      <c r="A299" s="3">
        <v>30</v>
      </c>
      <c r="B299" s="3">
        <v>0.41485275300000002</v>
      </c>
      <c r="C299" s="3">
        <v>5</v>
      </c>
      <c r="D299" s="3">
        <v>25</v>
      </c>
      <c r="E299" s="3">
        <v>6.5000000000000002E-2</v>
      </c>
      <c r="F299" s="3">
        <f t="shared" si="55"/>
        <v>3.068385758787318</v>
      </c>
      <c r="G299" s="5">
        <v>0.3</v>
      </c>
      <c r="H299" s="4">
        <v>30000000</v>
      </c>
      <c r="I299" s="4">
        <f t="shared" si="65"/>
        <v>12445582.59</v>
      </c>
      <c r="J299" s="3">
        <v>210000000000</v>
      </c>
      <c r="K299" s="4">
        <f t="shared" si="66"/>
        <v>8.3700019182102431E-2</v>
      </c>
      <c r="L299" s="6">
        <f t="shared" si="56"/>
        <v>2.0925004795525606</v>
      </c>
      <c r="M299" s="4">
        <f t="shared" si="57"/>
        <v>9753787.2395491544</v>
      </c>
      <c r="N299" s="4">
        <f t="shared" si="58"/>
        <v>1219223404.9436443</v>
      </c>
      <c r="O299" s="4">
        <f t="shared" si="59"/>
        <v>254004876029.9259</v>
      </c>
      <c r="P299" s="4">
        <f t="shared" si="60"/>
        <v>-15240292561.795553</v>
      </c>
      <c r="Q299" s="4">
        <f t="shared" si="63"/>
        <v>135082474.82409549</v>
      </c>
      <c r="R299" s="4">
        <f t="shared" si="63"/>
        <v>28142182255.019897</v>
      </c>
      <c r="S299" s="4">
        <f t="shared" si="63"/>
        <v>-1688530935.3011932</v>
      </c>
      <c r="T299" s="3"/>
      <c r="U299" s="4">
        <f t="shared" si="61"/>
        <v>32358514.734000001</v>
      </c>
      <c r="V299">
        <f t="shared" si="62"/>
        <v>644361009345.33679</v>
      </c>
    </row>
    <row r="300" spans="1:22" x14ac:dyDescent="0.5">
      <c r="A300" s="3">
        <v>30</v>
      </c>
      <c r="B300" s="3">
        <v>0.37708066600000001</v>
      </c>
      <c r="C300" s="3">
        <v>5</v>
      </c>
      <c r="D300" s="3">
        <v>25</v>
      </c>
      <c r="E300" s="3">
        <v>6.5000000000000002E-2</v>
      </c>
      <c r="F300" s="3">
        <f t="shared" si="55"/>
        <v>3.068385758787318</v>
      </c>
      <c r="G300" s="5">
        <v>0.3</v>
      </c>
      <c r="H300" s="4">
        <v>30000000</v>
      </c>
      <c r="I300" s="4">
        <f t="shared" si="65"/>
        <v>11312419.98</v>
      </c>
      <c r="J300" s="3">
        <v>210000000000</v>
      </c>
      <c r="K300" s="4">
        <f t="shared" si="66"/>
        <v>8.3700019182102431E-2</v>
      </c>
      <c r="L300" s="6">
        <f t="shared" si="56"/>
        <v>2.0925004795525606</v>
      </c>
      <c r="M300" s="4">
        <f t="shared" si="57"/>
        <v>8795460.6738615502</v>
      </c>
      <c r="N300" s="4">
        <f t="shared" si="58"/>
        <v>1099432584.2326937</v>
      </c>
      <c r="O300" s="4">
        <f t="shared" si="59"/>
        <v>229048455048.47787</v>
      </c>
      <c r="P300" s="4">
        <f t="shared" si="60"/>
        <v>-13742907302.908672</v>
      </c>
      <c r="Q300" s="4">
        <f t="shared" si="63"/>
        <v>119790820.71095061</v>
      </c>
      <c r="R300" s="4">
        <f t="shared" si="63"/>
        <v>24956420981.448029</v>
      </c>
      <c r="S300" s="4">
        <f t="shared" si="63"/>
        <v>-1497385258.8868809</v>
      </c>
      <c r="T300" s="3"/>
      <c r="U300" s="4">
        <f t="shared" si="61"/>
        <v>29412291.948000003</v>
      </c>
      <c r="V300">
        <f t="shared" si="62"/>
        <v>644361009345.33679</v>
      </c>
    </row>
    <row r="301" spans="1:22" x14ac:dyDescent="0.5">
      <c r="A301" s="3">
        <v>30</v>
      </c>
      <c r="B301" s="3">
        <v>0.33738796399999998</v>
      </c>
      <c r="C301" s="3">
        <v>5</v>
      </c>
      <c r="D301" s="3">
        <v>25</v>
      </c>
      <c r="E301" s="3">
        <v>6.5000000000000002E-2</v>
      </c>
      <c r="F301" s="3">
        <f t="shared" si="55"/>
        <v>3.068385758787318</v>
      </c>
      <c r="G301" s="5">
        <v>0.3</v>
      </c>
      <c r="H301" s="4">
        <v>30000000</v>
      </c>
      <c r="I301" s="4">
        <f t="shared" si="65"/>
        <v>10121638.92</v>
      </c>
      <c r="J301" s="3">
        <v>210000000000</v>
      </c>
      <c r="K301" s="4">
        <f t="shared" si="66"/>
        <v>8.3700019182102431E-2</v>
      </c>
      <c r="L301" s="6">
        <f t="shared" si="56"/>
        <v>2.0925004795525606</v>
      </c>
      <c r="M301" s="4">
        <f t="shared" si="57"/>
        <v>7797017.7187302765</v>
      </c>
      <c r="N301" s="4">
        <f t="shared" si="58"/>
        <v>974627214.84128463</v>
      </c>
      <c r="O301" s="4">
        <f t="shared" si="59"/>
        <v>203047336425.26761</v>
      </c>
      <c r="P301" s="4">
        <f t="shared" si="60"/>
        <v>-12182840185.516058</v>
      </c>
      <c r="Q301" s="4">
        <f t="shared" si="63"/>
        <v>124805369.39140904</v>
      </c>
      <c r="R301" s="4">
        <f t="shared" si="63"/>
        <v>26001118623.210266</v>
      </c>
      <c r="S301" s="4">
        <f t="shared" si="63"/>
        <v>-1560067117.3926144</v>
      </c>
      <c r="T301" s="3"/>
      <c r="U301" s="4">
        <f t="shared" si="61"/>
        <v>26316261.192000002</v>
      </c>
      <c r="V301">
        <f t="shared" si="62"/>
        <v>644361009345.33679</v>
      </c>
    </row>
    <row r="302" spans="1:22" x14ac:dyDescent="0.5">
      <c r="A302" s="3">
        <v>30</v>
      </c>
      <c r="B302" s="3">
        <v>0.30089628699999998</v>
      </c>
      <c r="C302" s="3">
        <v>5</v>
      </c>
      <c r="D302" s="3">
        <v>25</v>
      </c>
      <c r="E302" s="3">
        <v>6.5000000000000002E-2</v>
      </c>
      <c r="F302" s="3">
        <f t="shared" si="55"/>
        <v>3.068385758787318</v>
      </c>
      <c r="G302" s="5">
        <v>0.3</v>
      </c>
      <c r="H302" s="4">
        <v>30000000</v>
      </c>
      <c r="I302" s="4">
        <f t="shared" si="65"/>
        <v>9026888.6099999994</v>
      </c>
      <c r="J302" s="3">
        <v>210000000000</v>
      </c>
      <c r="K302" s="4">
        <f t="shared" si="66"/>
        <v>8.3700019182102431E-2</v>
      </c>
      <c r="L302" s="6">
        <f t="shared" si="56"/>
        <v>2.0925004795525606</v>
      </c>
      <c r="M302" s="4">
        <f t="shared" si="57"/>
        <v>6887681.1563709229</v>
      </c>
      <c r="N302" s="4">
        <f t="shared" si="58"/>
        <v>860960144.54636538</v>
      </c>
      <c r="O302" s="4">
        <f t="shared" si="59"/>
        <v>179366696780.49277</v>
      </c>
      <c r="P302" s="4">
        <f t="shared" si="60"/>
        <v>-10762001806.829567</v>
      </c>
      <c r="Q302" s="4">
        <f t="shared" si="63"/>
        <v>113667070.29491925</v>
      </c>
      <c r="R302" s="4">
        <f t="shared" si="63"/>
        <v>23680639644.774841</v>
      </c>
      <c r="S302" s="4">
        <f t="shared" si="63"/>
        <v>-1420838378.686491</v>
      </c>
      <c r="T302" s="3"/>
      <c r="U302" s="4">
        <f t="shared" si="61"/>
        <v>23469910.386</v>
      </c>
      <c r="V302">
        <f t="shared" si="62"/>
        <v>644361009345.33679</v>
      </c>
    </row>
    <row r="303" spans="1:22" x14ac:dyDescent="0.5">
      <c r="A303" s="3">
        <v>30</v>
      </c>
      <c r="B303" s="3">
        <v>0.26760563399999998</v>
      </c>
      <c r="C303" s="3">
        <v>5</v>
      </c>
      <c r="D303" s="3">
        <v>25</v>
      </c>
      <c r="E303" s="3">
        <v>6.5000000000000002E-2</v>
      </c>
      <c r="F303" s="3">
        <f t="shared" si="55"/>
        <v>3.068385758787318</v>
      </c>
      <c r="G303" s="5">
        <v>0.3</v>
      </c>
      <c r="H303" s="4">
        <v>30000000</v>
      </c>
      <c r="I303" s="4">
        <f t="shared" si="65"/>
        <v>8028169.0199999996</v>
      </c>
      <c r="J303" s="3">
        <v>210000000000</v>
      </c>
      <c r="K303" s="4">
        <f t="shared" si="66"/>
        <v>8.3700019182102431E-2</v>
      </c>
      <c r="L303" s="6">
        <f t="shared" si="56"/>
        <v>2.0925004795525606</v>
      </c>
      <c r="M303" s="4">
        <f t="shared" si="57"/>
        <v>6066078.0486210687</v>
      </c>
      <c r="N303" s="4">
        <f t="shared" si="58"/>
        <v>758259756.07763362</v>
      </c>
      <c r="O303" s="4">
        <f t="shared" si="59"/>
        <v>157970782516.17368</v>
      </c>
      <c r="P303" s="4">
        <f t="shared" si="60"/>
        <v>-9478246950.9704208</v>
      </c>
      <c r="Q303" s="4">
        <f t="shared" si="63"/>
        <v>102700388.46873176</v>
      </c>
      <c r="R303" s="4">
        <f t="shared" si="63"/>
        <v>21395914264.319092</v>
      </c>
      <c r="S303" s="4">
        <f t="shared" si="63"/>
        <v>-1283754855.8591461</v>
      </c>
      <c r="T303" s="3"/>
      <c r="U303" s="4">
        <f t="shared" si="61"/>
        <v>20873239.452</v>
      </c>
      <c r="V303">
        <f t="shared" si="62"/>
        <v>644361009345.33679</v>
      </c>
    </row>
    <row r="304" spans="1:22" x14ac:dyDescent="0.5">
      <c r="A304" s="3">
        <v>30</v>
      </c>
      <c r="B304" s="3">
        <v>0.23239436599999999</v>
      </c>
      <c r="C304" s="3">
        <v>5</v>
      </c>
      <c r="D304" s="3">
        <v>25</v>
      </c>
      <c r="E304" s="3">
        <v>6.5000000000000002E-2</v>
      </c>
      <c r="F304" s="3">
        <f t="shared" si="55"/>
        <v>3.068385758787318</v>
      </c>
      <c r="G304" s="5">
        <v>0.3</v>
      </c>
      <c r="H304" s="4">
        <v>30000000</v>
      </c>
      <c r="I304" s="4">
        <f t="shared" si="65"/>
        <v>6971830.9799999995</v>
      </c>
      <c r="J304" s="3">
        <v>210000000000</v>
      </c>
      <c r="K304" s="4">
        <f t="shared" si="66"/>
        <v>8.3700019182102431E-2</v>
      </c>
      <c r="L304" s="6">
        <f t="shared" si="56"/>
        <v>2.0925004795525606</v>
      </c>
      <c r="M304" s="4">
        <f t="shared" si="57"/>
        <v>5206340.0636430504</v>
      </c>
      <c r="N304" s="4">
        <f t="shared" si="58"/>
        <v>650792507.95538127</v>
      </c>
      <c r="O304" s="4">
        <f t="shared" si="59"/>
        <v>135581772490.70442</v>
      </c>
      <c r="P304" s="4">
        <f t="shared" si="60"/>
        <v>-8134906349.4422655</v>
      </c>
      <c r="Q304" s="4">
        <f t="shared" si="63"/>
        <v>107467248.12225235</v>
      </c>
      <c r="R304" s="4">
        <f t="shared" si="63"/>
        <v>22389010025.469254</v>
      </c>
      <c r="S304" s="4">
        <f t="shared" si="63"/>
        <v>-1343340601.5281553</v>
      </c>
      <c r="T304" s="3"/>
      <c r="U304" s="4">
        <f t="shared" si="61"/>
        <v>18126760.548</v>
      </c>
      <c r="V304">
        <f t="shared" si="62"/>
        <v>644361009345.33679</v>
      </c>
    </row>
    <row r="305" spans="1:22" x14ac:dyDescent="0.5">
      <c r="A305" s="3">
        <v>30</v>
      </c>
      <c r="B305" s="3">
        <v>0.19782330300000001</v>
      </c>
      <c r="C305" s="3">
        <v>5</v>
      </c>
      <c r="D305" s="3">
        <v>25</v>
      </c>
      <c r="E305" s="3">
        <v>6.5000000000000002E-2</v>
      </c>
      <c r="F305" s="3">
        <f t="shared" si="55"/>
        <v>3.068385758787318</v>
      </c>
      <c r="G305" s="5">
        <v>0.3</v>
      </c>
      <c r="H305" s="4">
        <v>30000000</v>
      </c>
      <c r="I305" s="4">
        <f t="shared" si="65"/>
        <v>5934699.0899999999</v>
      </c>
      <c r="J305" s="3">
        <v>210000000000</v>
      </c>
      <c r="K305" s="4">
        <f t="shared" si="66"/>
        <v>8.3700019182102431E-2</v>
      </c>
      <c r="L305" s="6">
        <f t="shared" si="56"/>
        <v>2.0925004795525606</v>
      </c>
      <c r="M305" s="4">
        <f t="shared" si="57"/>
        <v>4372757.2968973788</v>
      </c>
      <c r="N305" s="4">
        <f t="shared" si="58"/>
        <v>546594662.11217237</v>
      </c>
      <c r="O305" s="4">
        <f t="shared" si="59"/>
        <v>113873887940.0359</v>
      </c>
      <c r="P305" s="4">
        <f t="shared" si="60"/>
        <v>-6832433276.402154</v>
      </c>
      <c r="Q305" s="4">
        <f t="shared" si="63"/>
        <v>104197845.84320891</v>
      </c>
      <c r="R305" s="4">
        <f t="shared" si="63"/>
        <v>21707884550.668518</v>
      </c>
      <c r="S305" s="4">
        <f t="shared" si="63"/>
        <v>-1302473073.0401115</v>
      </c>
      <c r="T305" s="3"/>
      <c r="U305" s="4">
        <f t="shared" si="61"/>
        <v>15430217.634</v>
      </c>
      <c r="V305">
        <f t="shared" si="62"/>
        <v>644361009345.33679</v>
      </c>
    </row>
    <row r="306" spans="1:22" x14ac:dyDescent="0.5">
      <c r="A306" s="3">
        <v>30</v>
      </c>
      <c r="B306" s="3">
        <v>0.16709346999999999</v>
      </c>
      <c r="C306" s="3">
        <v>5</v>
      </c>
      <c r="D306" s="3">
        <v>25</v>
      </c>
      <c r="E306" s="3">
        <v>6.5000000000000002E-2</v>
      </c>
      <c r="F306" s="3">
        <f t="shared" si="55"/>
        <v>3.068385758787318</v>
      </c>
      <c r="G306" s="5">
        <v>0.3</v>
      </c>
      <c r="H306" s="4">
        <v>30000000</v>
      </c>
      <c r="I306" s="4">
        <f t="shared" si="65"/>
        <v>5012804.0999999996</v>
      </c>
      <c r="J306" s="3">
        <v>210000000000</v>
      </c>
      <c r="K306" s="4">
        <f t="shared" si="66"/>
        <v>8.3700019182102431E-2</v>
      </c>
      <c r="L306" s="6">
        <f t="shared" si="56"/>
        <v>2.0925004795525606</v>
      </c>
      <c r="M306" s="4">
        <f t="shared" si="57"/>
        <v>3641896.2661365625</v>
      </c>
      <c r="N306" s="4">
        <f t="shared" si="58"/>
        <v>455237033.26707035</v>
      </c>
      <c r="O306" s="4">
        <f t="shared" si="59"/>
        <v>94841048597.30632</v>
      </c>
      <c r="P306" s="4">
        <f t="shared" si="60"/>
        <v>-5690462915.8383799</v>
      </c>
      <c r="Q306" s="4">
        <f t="shared" si="63"/>
        <v>91357628.845102012</v>
      </c>
      <c r="R306" s="4">
        <f t="shared" si="63"/>
        <v>19032839342.729584</v>
      </c>
      <c r="S306" s="4">
        <f t="shared" si="63"/>
        <v>-1141970360.5637741</v>
      </c>
      <c r="T306" s="3"/>
      <c r="U306" s="4">
        <f t="shared" si="61"/>
        <v>13033290.66</v>
      </c>
      <c r="V306">
        <f t="shared" si="62"/>
        <v>644361009345.33679</v>
      </c>
    </row>
    <row r="307" spans="1:22" x14ac:dyDescent="0.5">
      <c r="A307" s="3">
        <v>30</v>
      </c>
      <c r="B307" s="3">
        <v>0.13572343100000001</v>
      </c>
      <c r="C307" s="3">
        <v>5</v>
      </c>
      <c r="D307" s="3">
        <v>25</v>
      </c>
      <c r="E307" s="3">
        <v>6.5000000000000002E-2</v>
      </c>
      <c r="F307" s="3">
        <f t="shared" si="55"/>
        <v>3.068385758787318</v>
      </c>
      <c r="G307" s="5">
        <v>0.3</v>
      </c>
      <c r="H307" s="4">
        <v>30000000</v>
      </c>
      <c r="I307" s="4">
        <f t="shared" si="65"/>
        <v>4071702.93</v>
      </c>
      <c r="J307" s="3">
        <v>210000000000</v>
      </c>
      <c r="K307" s="4">
        <f t="shared" si="66"/>
        <v>8.3700019182102431E-2</v>
      </c>
      <c r="L307" s="6">
        <f t="shared" si="56"/>
        <v>2.0925004795525606</v>
      </c>
      <c r="M307" s="4">
        <f t="shared" si="57"/>
        <v>2907351.4631949994</v>
      </c>
      <c r="N307" s="4">
        <f t="shared" si="58"/>
        <v>363418932.89937496</v>
      </c>
      <c r="O307" s="4">
        <f t="shared" si="59"/>
        <v>75712277687.369781</v>
      </c>
      <c r="P307" s="4">
        <f t="shared" si="60"/>
        <v>-4542736661.2421865</v>
      </c>
      <c r="Q307" s="4">
        <f t="shared" si="63"/>
        <v>91818100.367695391</v>
      </c>
      <c r="R307" s="4">
        <f t="shared" si="63"/>
        <v>19128770909.936539</v>
      </c>
      <c r="S307" s="4">
        <f t="shared" si="63"/>
        <v>-1147726254.5961933</v>
      </c>
      <c r="T307" s="3"/>
      <c r="U307" s="4">
        <f t="shared" si="61"/>
        <v>10586427.618000001</v>
      </c>
      <c r="V307">
        <f t="shared" si="62"/>
        <v>644361009345.33679</v>
      </c>
    </row>
    <row r="308" spans="1:22" x14ac:dyDescent="0.5">
      <c r="A308" s="3">
        <v>30</v>
      </c>
      <c r="B308" s="3">
        <v>0.119078105</v>
      </c>
      <c r="C308" s="3">
        <v>5</v>
      </c>
      <c r="D308" s="3">
        <v>25</v>
      </c>
      <c r="E308" s="3">
        <v>6.5000000000000002E-2</v>
      </c>
      <c r="F308" s="3">
        <f t="shared" si="55"/>
        <v>3.068385758787318</v>
      </c>
      <c r="G308" s="5">
        <v>0.3</v>
      </c>
      <c r="H308" s="4">
        <v>30000000</v>
      </c>
      <c r="I308" s="4">
        <f t="shared" si="65"/>
        <v>3572343.15</v>
      </c>
      <c r="J308" s="3">
        <v>210000000000</v>
      </c>
      <c r="K308" s="4">
        <f t="shared" si="66"/>
        <v>8.3700019182102431E-2</v>
      </c>
      <c r="L308" s="6">
        <f t="shared" si="56"/>
        <v>2.0925004795525606</v>
      </c>
      <c r="M308" s="4">
        <f t="shared" si="57"/>
        <v>2523128.5500660897</v>
      </c>
      <c r="N308" s="4">
        <f t="shared" si="58"/>
        <v>315391068.7582612</v>
      </c>
      <c r="O308" s="4">
        <f t="shared" si="59"/>
        <v>65706472657.971077</v>
      </c>
      <c r="P308" s="4">
        <f t="shared" si="60"/>
        <v>-3942388359.4782648</v>
      </c>
      <c r="Q308" s="4">
        <f t="shared" si="63"/>
        <v>48027864.141113758</v>
      </c>
      <c r="R308" s="4">
        <f t="shared" si="63"/>
        <v>10005805029.398705</v>
      </c>
      <c r="S308" s="4">
        <f t="shared" si="63"/>
        <v>-600348301.76392174</v>
      </c>
      <c r="T308" s="3"/>
      <c r="U308" s="4">
        <f t="shared" si="61"/>
        <v>9288092.1899999995</v>
      </c>
      <c r="V308">
        <f t="shared" si="62"/>
        <v>644361009345.33679</v>
      </c>
    </row>
    <row r="309" spans="1:22" x14ac:dyDescent="0.5">
      <c r="A309" s="3">
        <v>30</v>
      </c>
      <c r="B309" s="3">
        <v>0.102432778</v>
      </c>
      <c r="C309" s="3">
        <v>5</v>
      </c>
      <c r="D309" s="3">
        <v>25</v>
      </c>
      <c r="E309" s="3">
        <v>6.5000000000000002E-2</v>
      </c>
      <c r="F309" s="3">
        <f t="shared" si="55"/>
        <v>3.068385758787318</v>
      </c>
      <c r="G309" s="5">
        <v>0.3</v>
      </c>
      <c r="H309" s="4">
        <v>30000000</v>
      </c>
      <c r="I309" s="4">
        <f t="shared" si="65"/>
        <v>3072983.34</v>
      </c>
      <c r="J309" s="3">
        <v>210000000000</v>
      </c>
      <c r="K309" s="4">
        <f t="shared" si="66"/>
        <v>8.3700019182102431E-2</v>
      </c>
      <c r="L309" s="6">
        <f t="shared" si="56"/>
        <v>2.0925004795525606</v>
      </c>
      <c r="M309" s="4">
        <f t="shared" si="57"/>
        <v>2143369.2733418178</v>
      </c>
      <c r="N309" s="4">
        <f t="shared" si="58"/>
        <v>267921159.16772723</v>
      </c>
      <c r="O309" s="4">
        <f t="shared" si="59"/>
        <v>55816908159.943176</v>
      </c>
      <c r="P309" s="4">
        <f t="shared" si="60"/>
        <v>-3349014489.5965905</v>
      </c>
      <c r="Q309" s="4">
        <f t="shared" si="63"/>
        <v>47469909.590533972</v>
      </c>
      <c r="R309" s="4">
        <f t="shared" si="63"/>
        <v>9889564498.0279007</v>
      </c>
      <c r="S309" s="4">
        <f t="shared" si="63"/>
        <v>-593373869.88167429</v>
      </c>
      <c r="T309" s="3"/>
      <c r="U309" s="4">
        <f t="shared" si="61"/>
        <v>7989756.6839999994</v>
      </c>
      <c r="V309">
        <f t="shared" si="62"/>
        <v>644361009345.33679</v>
      </c>
    </row>
    <row r="310" spans="1:22" x14ac:dyDescent="0.5">
      <c r="A310" s="3">
        <v>35</v>
      </c>
      <c r="B310" s="3">
        <v>1</v>
      </c>
      <c r="C310" s="3">
        <v>5</v>
      </c>
      <c r="D310" s="3">
        <v>30</v>
      </c>
      <c r="E310" s="3">
        <v>6.5000000000000002E-2</v>
      </c>
      <c r="F310" s="3">
        <f t="shared" si="55"/>
        <v>3.068385758787318</v>
      </c>
      <c r="G310" s="5">
        <v>0.3</v>
      </c>
      <c r="H310" s="4">
        <v>30000000</v>
      </c>
      <c r="I310" s="4">
        <f>B310*$H$310</f>
        <v>30000000</v>
      </c>
      <c r="J310" s="3">
        <v>210000000000</v>
      </c>
      <c r="K310" s="4">
        <f>(($M$310*C310)/(4*J310*F310))^(1/4)</f>
        <v>8.3700019182102431E-2</v>
      </c>
      <c r="L310" s="6">
        <f t="shared" si="56"/>
        <v>2.5110005754630729</v>
      </c>
      <c r="M310" s="4">
        <f t="shared" si="57"/>
        <v>25300055.286992632</v>
      </c>
      <c r="N310" s="4">
        <f t="shared" si="58"/>
        <v>1511353016.0577636</v>
      </c>
      <c r="O310" s="4">
        <f t="shared" si="59"/>
        <v>107866057684.80704</v>
      </c>
      <c r="P310" s="4">
        <f t="shared" si="60"/>
        <v>-9028391097.3161163</v>
      </c>
      <c r="Q310" s="4">
        <f>N310</f>
        <v>1511353016.0577636</v>
      </c>
      <c r="R310" s="4">
        <f t="shared" ref="R310:S310" si="67">O310</f>
        <v>107866057684.80704</v>
      </c>
      <c r="S310" s="4">
        <f t="shared" si="67"/>
        <v>-9028391097.3161163</v>
      </c>
      <c r="T310" s="3"/>
      <c r="U310" s="4">
        <f t="shared" si="61"/>
        <v>78000000</v>
      </c>
      <c r="V310">
        <f t="shared" si="62"/>
        <v>644361009345.33679</v>
      </c>
    </row>
    <row r="311" spans="1:22" x14ac:dyDescent="0.5">
      <c r="A311" s="3">
        <v>35</v>
      </c>
      <c r="B311" s="3">
        <v>1</v>
      </c>
      <c r="C311" s="3">
        <v>5</v>
      </c>
      <c r="D311" s="3">
        <v>30</v>
      </c>
      <c r="E311" s="3">
        <v>6.5000000000000002E-2</v>
      </c>
      <c r="F311" s="3">
        <f t="shared" si="55"/>
        <v>3.068385758787318</v>
      </c>
      <c r="G311" s="5">
        <v>0.3</v>
      </c>
      <c r="H311" s="4">
        <v>30000000</v>
      </c>
      <c r="I311" s="4">
        <f t="shared" ref="I311:I353" si="68">B311*$H$310</f>
        <v>30000000</v>
      </c>
      <c r="J311" s="3">
        <v>210000000000</v>
      </c>
      <c r="K311" s="4">
        <f t="shared" ref="K311:K353" si="69">(($M$310*C311)/(4*J311*F311))^(1/4)</f>
        <v>8.3700019182102431E-2</v>
      </c>
      <c r="L311" s="6">
        <f t="shared" si="56"/>
        <v>2.5110005754630729</v>
      </c>
      <c r="M311" s="4">
        <f t="shared" si="57"/>
        <v>25300055.286992632</v>
      </c>
      <c r="N311" s="4">
        <f t="shared" si="58"/>
        <v>1511353016.0577636</v>
      </c>
      <c r="O311" s="4">
        <f t="shared" si="59"/>
        <v>107866057684.80704</v>
      </c>
      <c r="P311" s="4">
        <f t="shared" si="60"/>
        <v>-9028391097.3161163</v>
      </c>
      <c r="Q311" s="4">
        <f t="shared" si="63"/>
        <v>0</v>
      </c>
      <c r="R311" s="4">
        <f t="shared" si="63"/>
        <v>0</v>
      </c>
      <c r="S311" s="4">
        <f t="shared" si="63"/>
        <v>0</v>
      </c>
      <c r="T311" s="3"/>
      <c r="U311" s="4">
        <f t="shared" si="61"/>
        <v>78000000</v>
      </c>
      <c r="V311">
        <f t="shared" si="62"/>
        <v>644361009345.33679</v>
      </c>
    </row>
    <row r="312" spans="1:22" x14ac:dyDescent="0.5">
      <c r="A312" s="3">
        <v>35</v>
      </c>
      <c r="B312" s="3">
        <v>1</v>
      </c>
      <c r="C312" s="3">
        <v>5</v>
      </c>
      <c r="D312" s="3">
        <v>30</v>
      </c>
      <c r="E312" s="3">
        <v>6.5000000000000002E-2</v>
      </c>
      <c r="F312" s="3">
        <f t="shared" si="55"/>
        <v>3.068385758787318</v>
      </c>
      <c r="G312" s="5">
        <v>0.3</v>
      </c>
      <c r="H312" s="4">
        <v>30000000</v>
      </c>
      <c r="I312" s="4">
        <f t="shared" si="68"/>
        <v>30000000</v>
      </c>
      <c r="J312" s="3">
        <v>210000000000</v>
      </c>
      <c r="K312" s="4">
        <f t="shared" si="69"/>
        <v>8.3700019182102431E-2</v>
      </c>
      <c r="L312" s="6">
        <f t="shared" si="56"/>
        <v>2.5110005754630729</v>
      </c>
      <c r="M312" s="4">
        <f t="shared" si="57"/>
        <v>25300055.286992632</v>
      </c>
      <c r="N312" s="4">
        <f t="shared" si="58"/>
        <v>1511353016.0577636</v>
      </c>
      <c r="O312" s="4">
        <f t="shared" si="59"/>
        <v>107866057684.80704</v>
      </c>
      <c r="P312" s="4">
        <f t="shared" si="60"/>
        <v>-9028391097.3161163</v>
      </c>
      <c r="Q312" s="4">
        <f t="shared" si="63"/>
        <v>0</v>
      </c>
      <c r="R312" s="4">
        <f t="shared" si="63"/>
        <v>0</v>
      </c>
      <c r="S312" s="4">
        <f t="shared" si="63"/>
        <v>0</v>
      </c>
      <c r="T312" s="3"/>
      <c r="U312" s="4">
        <f t="shared" si="61"/>
        <v>78000000</v>
      </c>
      <c r="V312">
        <f t="shared" si="62"/>
        <v>644361009345.33679</v>
      </c>
    </row>
    <row r="313" spans="1:22" x14ac:dyDescent="0.5">
      <c r="A313" s="3">
        <v>35</v>
      </c>
      <c r="B313" s="3">
        <v>1</v>
      </c>
      <c r="C313" s="3">
        <v>5</v>
      </c>
      <c r="D313" s="3">
        <v>30</v>
      </c>
      <c r="E313" s="3">
        <v>6.5000000000000002E-2</v>
      </c>
      <c r="F313" s="3">
        <f t="shared" si="55"/>
        <v>3.068385758787318</v>
      </c>
      <c r="G313" s="5">
        <v>0.3</v>
      </c>
      <c r="H313" s="4">
        <v>30000000</v>
      </c>
      <c r="I313" s="4">
        <f t="shared" si="68"/>
        <v>30000000</v>
      </c>
      <c r="J313" s="3">
        <v>210000000000</v>
      </c>
      <c r="K313" s="4">
        <f t="shared" si="69"/>
        <v>8.3700019182102431E-2</v>
      </c>
      <c r="L313" s="6">
        <f t="shared" si="56"/>
        <v>2.5110005754630729</v>
      </c>
      <c r="M313" s="4">
        <f t="shared" si="57"/>
        <v>25300055.286992632</v>
      </c>
      <c r="N313" s="4">
        <f t="shared" si="58"/>
        <v>1511353016.0577636</v>
      </c>
      <c r="O313" s="4">
        <f t="shared" si="59"/>
        <v>107866057684.80704</v>
      </c>
      <c r="P313" s="4">
        <f t="shared" si="60"/>
        <v>-9028391097.3161163</v>
      </c>
      <c r="Q313" s="4">
        <f t="shared" si="63"/>
        <v>0</v>
      </c>
      <c r="R313" s="4">
        <f t="shared" si="63"/>
        <v>0</v>
      </c>
      <c r="S313" s="4">
        <f t="shared" si="63"/>
        <v>0</v>
      </c>
      <c r="T313" s="3"/>
      <c r="U313" s="4">
        <f t="shared" si="61"/>
        <v>78000000</v>
      </c>
      <c r="V313">
        <f t="shared" si="62"/>
        <v>644361009345.33679</v>
      </c>
    </row>
    <row r="314" spans="1:22" x14ac:dyDescent="0.5">
      <c r="A314" s="3">
        <v>35</v>
      </c>
      <c r="B314" s="3">
        <v>1</v>
      </c>
      <c r="C314" s="3">
        <v>5</v>
      </c>
      <c r="D314" s="3">
        <v>30</v>
      </c>
      <c r="E314" s="3">
        <v>6.5000000000000002E-2</v>
      </c>
      <c r="F314" s="3">
        <f t="shared" si="55"/>
        <v>3.068385758787318</v>
      </c>
      <c r="G314" s="5">
        <v>0.3</v>
      </c>
      <c r="H314" s="4">
        <v>30000000</v>
      </c>
      <c r="I314" s="4">
        <f t="shared" si="68"/>
        <v>30000000</v>
      </c>
      <c r="J314" s="3">
        <v>210000000000</v>
      </c>
      <c r="K314" s="4">
        <f t="shared" si="69"/>
        <v>8.3700019182102431E-2</v>
      </c>
      <c r="L314" s="6">
        <f t="shared" si="56"/>
        <v>2.5110005754630729</v>
      </c>
      <c r="M314" s="4">
        <f t="shared" si="57"/>
        <v>25300055.286992632</v>
      </c>
      <c r="N314" s="4">
        <f t="shared" si="58"/>
        <v>1511353016.0577636</v>
      </c>
      <c r="O314" s="4">
        <f t="shared" si="59"/>
        <v>107866057684.80704</v>
      </c>
      <c r="P314" s="4">
        <f t="shared" si="60"/>
        <v>-9028391097.3161163</v>
      </c>
      <c r="Q314" s="4">
        <f t="shared" si="63"/>
        <v>0</v>
      </c>
      <c r="R314" s="4">
        <f t="shared" si="63"/>
        <v>0</v>
      </c>
      <c r="S314" s="4">
        <f t="shared" si="63"/>
        <v>0</v>
      </c>
      <c r="T314" s="3"/>
      <c r="U314" s="4">
        <f t="shared" si="61"/>
        <v>78000000</v>
      </c>
      <c r="V314">
        <f t="shared" si="62"/>
        <v>644361009345.33679</v>
      </c>
    </row>
    <row r="315" spans="1:22" x14ac:dyDescent="0.5">
      <c r="A315" s="3">
        <v>35</v>
      </c>
      <c r="B315" s="3">
        <v>1</v>
      </c>
      <c r="C315" s="3">
        <v>5</v>
      </c>
      <c r="D315" s="3">
        <v>30</v>
      </c>
      <c r="E315" s="3">
        <v>6.5000000000000002E-2</v>
      </c>
      <c r="F315" s="3">
        <f t="shared" si="55"/>
        <v>3.068385758787318</v>
      </c>
      <c r="G315" s="5">
        <v>0.3</v>
      </c>
      <c r="H315" s="4">
        <v>30000000</v>
      </c>
      <c r="I315" s="4">
        <f t="shared" si="68"/>
        <v>30000000</v>
      </c>
      <c r="J315" s="3">
        <v>210000000000</v>
      </c>
      <c r="K315" s="4">
        <f t="shared" si="69"/>
        <v>8.3700019182102431E-2</v>
      </c>
      <c r="L315" s="6">
        <f t="shared" si="56"/>
        <v>2.5110005754630729</v>
      </c>
      <c r="M315" s="4">
        <f t="shared" si="57"/>
        <v>25300055.286992632</v>
      </c>
      <c r="N315" s="4">
        <f t="shared" si="58"/>
        <v>1511353016.0577636</v>
      </c>
      <c r="O315" s="4">
        <f t="shared" si="59"/>
        <v>107866057684.80704</v>
      </c>
      <c r="P315" s="4">
        <f t="shared" si="60"/>
        <v>-9028391097.3161163</v>
      </c>
      <c r="Q315" s="4">
        <f t="shared" si="63"/>
        <v>0</v>
      </c>
      <c r="R315" s="4">
        <f t="shared" si="63"/>
        <v>0</v>
      </c>
      <c r="S315" s="4">
        <f t="shared" si="63"/>
        <v>0</v>
      </c>
      <c r="T315" s="3"/>
      <c r="U315" s="4">
        <f t="shared" si="61"/>
        <v>78000000</v>
      </c>
      <c r="V315">
        <f t="shared" si="62"/>
        <v>644361009345.33679</v>
      </c>
    </row>
    <row r="316" spans="1:22" x14ac:dyDescent="0.5">
      <c r="A316" s="3">
        <v>35</v>
      </c>
      <c r="B316" s="3">
        <v>1</v>
      </c>
      <c r="C316" s="3">
        <v>5</v>
      </c>
      <c r="D316" s="3">
        <v>30</v>
      </c>
      <c r="E316" s="3">
        <v>6.5000000000000002E-2</v>
      </c>
      <c r="F316" s="3">
        <f t="shared" si="55"/>
        <v>3.068385758787318</v>
      </c>
      <c r="G316" s="5">
        <v>0.3</v>
      </c>
      <c r="H316" s="4">
        <v>30000000</v>
      </c>
      <c r="I316" s="4">
        <f t="shared" si="68"/>
        <v>30000000</v>
      </c>
      <c r="J316" s="3">
        <v>210000000000</v>
      </c>
      <c r="K316" s="4">
        <f t="shared" si="69"/>
        <v>8.3700019182102431E-2</v>
      </c>
      <c r="L316" s="6">
        <f t="shared" si="56"/>
        <v>2.5110005754630729</v>
      </c>
      <c r="M316" s="4">
        <f t="shared" si="57"/>
        <v>25300055.286992632</v>
      </c>
      <c r="N316" s="4">
        <f t="shared" si="58"/>
        <v>1511353016.0577636</v>
      </c>
      <c r="O316" s="4">
        <f t="shared" si="59"/>
        <v>107866057684.80704</v>
      </c>
      <c r="P316" s="4">
        <f t="shared" si="60"/>
        <v>-9028391097.3161163</v>
      </c>
      <c r="Q316" s="4">
        <f t="shared" si="63"/>
        <v>0</v>
      </c>
      <c r="R316" s="4">
        <f t="shared" si="63"/>
        <v>0</v>
      </c>
      <c r="S316" s="4">
        <f t="shared" si="63"/>
        <v>0</v>
      </c>
      <c r="T316" s="3"/>
      <c r="U316" s="4">
        <f t="shared" si="61"/>
        <v>78000000</v>
      </c>
      <c r="V316">
        <f t="shared" si="62"/>
        <v>644361009345.33679</v>
      </c>
    </row>
    <row r="317" spans="1:22" x14ac:dyDescent="0.5">
      <c r="A317" s="3">
        <v>35</v>
      </c>
      <c r="B317" s="3">
        <v>1</v>
      </c>
      <c r="C317" s="3">
        <v>5</v>
      </c>
      <c r="D317" s="3">
        <v>30</v>
      </c>
      <c r="E317" s="3">
        <v>6.5000000000000002E-2</v>
      </c>
      <c r="F317" s="3">
        <f t="shared" si="55"/>
        <v>3.068385758787318</v>
      </c>
      <c r="G317" s="5">
        <v>0.3</v>
      </c>
      <c r="H317" s="4">
        <v>30000000</v>
      </c>
      <c r="I317" s="4">
        <f t="shared" si="68"/>
        <v>30000000</v>
      </c>
      <c r="J317" s="3">
        <v>210000000000</v>
      </c>
      <c r="K317" s="4">
        <f t="shared" si="69"/>
        <v>8.3700019182102431E-2</v>
      </c>
      <c r="L317" s="6">
        <f t="shared" si="56"/>
        <v>2.5110005754630729</v>
      </c>
      <c r="M317" s="4">
        <f t="shared" si="57"/>
        <v>25300055.286992632</v>
      </c>
      <c r="N317" s="4">
        <f t="shared" si="58"/>
        <v>1511353016.0577636</v>
      </c>
      <c r="O317" s="4">
        <f t="shared" si="59"/>
        <v>107866057684.80704</v>
      </c>
      <c r="P317" s="4">
        <f t="shared" si="60"/>
        <v>-9028391097.3161163</v>
      </c>
      <c r="Q317" s="4">
        <f t="shared" si="63"/>
        <v>0</v>
      </c>
      <c r="R317" s="4">
        <f t="shared" si="63"/>
        <v>0</v>
      </c>
      <c r="S317" s="4">
        <f t="shared" si="63"/>
        <v>0</v>
      </c>
      <c r="T317" s="3"/>
      <c r="U317" s="4">
        <f t="shared" si="61"/>
        <v>78000000</v>
      </c>
      <c r="V317">
        <f t="shared" si="62"/>
        <v>644361009345.33679</v>
      </c>
    </row>
    <row r="318" spans="1:22" x14ac:dyDescent="0.5">
      <c r="A318" s="3">
        <v>35</v>
      </c>
      <c r="B318" s="3">
        <v>1</v>
      </c>
      <c r="C318" s="3">
        <v>5</v>
      </c>
      <c r="D318" s="3">
        <v>30</v>
      </c>
      <c r="E318" s="3">
        <v>6.5000000000000002E-2</v>
      </c>
      <c r="F318" s="3">
        <f t="shared" si="55"/>
        <v>3.068385758787318</v>
      </c>
      <c r="G318" s="5">
        <v>0.3</v>
      </c>
      <c r="H318" s="4">
        <v>30000000</v>
      </c>
      <c r="I318" s="4">
        <f t="shared" si="68"/>
        <v>30000000</v>
      </c>
      <c r="J318" s="3">
        <v>210000000000</v>
      </c>
      <c r="K318" s="4">
        <f t="shared" si="69"/>
        <v>8.3700019182102431E-2</v>
      </c>
      <c r="L318" s="6">
        <f t="shared" si="56"/>
        <v>2.5110005754630729</v>
      </c>
      <c r="M318" s="4">
        <f t="shared" si="57"/>
        <v>25300055.286992632</v>
      </c>
      <c r="N318" s="4">
        <f t="shared" si="58"/>
        <v>1511353016.0577636</v>
      </c>
      <c r="O318" s="4">
        <f t="shared" si="59"/>
        <v>107866057684.80704</v>
      </c>
      <c r="P318" s="4">
        <f t="shared" si="60"/>
        <v>-9028391097.3161163</v>
      </c>
      <c r="Q318" s="4">
        <f t="shared" si="63"/>
        <v>0</v>
      </c>
      <c r="R318" s="4">
        <f t="shared" si="63"/>
        <v>0</v>
      </c>
      <c r="S318" s="4">
        <f t="shared" si="63"/>
        <v>0</v>
      </c>
      <c r="T318" s="3"/>
      <c r="U318" s="4">
        <f t="shared" si="61"/>
        <v>78000000</v>
      </c>
      <c r="V318">
        <f t="shared" si="62"/>
        <v>644361009345.33679</v>
      </c>
    </row>
    <row r="319" spans="1:22" x14ac:dyDescent="0.5">
      <c r="A319" s="3">
        <v>35</v>
      </c>
      <c r="B319" s="3">
        <v>1</v>
      </c>
      <c r="C319" s="3">
        <v>5</v>
      </c>
      <c r="D319" s="3">
        <v>30</v>
      </c>
      <c r="E319" s="3">
        <v>6.5000000000000002E-2</v>
      </c>
      <c r="F319" s="3">
        <f t="shared" si="55"/>
        <v>3.068385758787318</v>
      </c>
      <c r="G319" s="5">
        <v>0.3</v>
      </c>
      <c r="H319" s="4">
        <v>30000000</v>
      </c>
      <c r="I319" s="4">
        <f t="shared" si="68"/>
        <v>30000000</v>
      </c>
      <c r="J319" s="3">
        <v>210000000000</v>
      </c>
      <c r="K319" s="4">
        <f t="shared" si="69"/>
        <v>8.3700019182102431E-2</v>
      </c>
      <c r="L319" s="6">
        <f t="shared" si="56"/>
        <v>2.5110005754630729</v>
      </c>
      <c r="M319" s="4">
        <f t="shared" si="57"/>
        <v>25300055.286992632</v>
      </c>
      <c r="N319" s="4">
        <f t="shared" si="58"/>
        <v>1511353016.0577636</v>
      </c>
      <c r="O319" s="4">
        <f t="shared" si="59"/>
        <v>107866057684.80704</v>
      </c>
      <c r="P319" s="4">
        <f t="shared" si="60"/>
        <v>-9028391097.3161163</v>
      </c>
      <c r="Q319" s="4">
        <f t="shared" si="63"/>
        <v>0</v>
      </c>
      <c r="R319" s="4">
        <f t="shared" si="63"/>
        <v>0</v>
      </c>
      <c r="S319" s="4">
        <f t="shared" si="63"/>
        <v>0</v>
      </c>
      <c r="T319" s="3"/>
      <c r="U319" s="4">
        <f t="shared" si="61"/>
        <v>78000000</v>
      </c>
      <c r="V319">
        <f t="shared" si="62"/>
        <v>644361009345.33679</v>
      </c>
    </row>
    <row r="320" spans="1:22" x14ac:dyDescent="0.5">
      <c r="A320" s="3">
        <v>35</v>
      </c>
      <c r="B320" s="3">
        <v>1</v>
      </c>
      <c r="C320" s="3">
        <v>5</v>
      </c>
      <c r="D320" s="3">
        <v>30</v>
      </c>
      <c r="E320" s="3">
        <v>6.5000000000000002E-2</v>
      </c>
      <c r="F320" s="3">
        <f t="shared" si="55"/>
        <v>3.068385758787318</v>
      </c>
      <c r="G320" s="5">
        <v>0.3</v>
      </c>
      <c r="H320" s="4">
        <v>30000000</v>
      </c>
      <c r="I320" s="4">
        <f t="shared" si="68"/>
        <v>30000000</v>
      </c>
      <c r="J320" s="3">
        <v>210000000000</v>
      </c>
      <c r="K320" s="4">
        <f t="shared" si="69"/>
        <v>8.3700019182102431E-2</v>
      </c>
      <c r="L320" s="6">
        <f t="shared" si="56"/>
        <v>2.5110005754630729</v>
      </c>
      <c r="M320" s="4">
        <f t="shared" si="57"/>
        <v>25300055.286992632</v>
      </c>
      <c r="N320" s="4">
        <f t="shared" si="58"/>
        <v>1511353016.0577636</v>
      </c>
      <c r="O320" s="4">
        <f t="shared" si="59"/>
        <v>107866057684.80704</v>
      </c>
      <c r="P320" s="4">
        <f t="shared" si="60"/>
        <v>-9028391097.3161163</v>
      </c>
      <c r="Q320" s="4">
        <f t="shared" si="63"/>
        <v>0</v>
      </c>
      <c r="R320" s="4">
        <f t="shared" si="63"/>
        <v>0</v>
      </c>
      <c r="S320" s="4">
        <f t="shared" si="63"/>
        <v>0</v>
      </c>
      <c r="T320" s="3"/>
      <c r="U320" s="4">
        <f t="shared" si="61"/>
        <v>78000000</v>
      </c>
      <c r="V320">
        <f t="shared" si="62"/>
        <v>644361009345.33679</v>
      </c>
    </row>
    <row r="321" spans="1:22" x14ac:dyDescent="0.5">
      <c r="A321" s="3">
        <v>35</v>
      </c>
      <c r="B321" s="3">
        <v>1</v>
      </c>
      <c r="C321" s="3">
        <v>5</v>
      </c>
      <c r="D321" s="3">
        <v>30</v>
      </c>
      <c r="E321" s="3">
        <v>6.5000000000000002E-2</v>
      </c>
      <c r="F321" s="3">
        <f t="shared" si="55"/>
        <v>3.068385758787318</v>
      </c>
      <c r="G321" s="5">
        <v>0.3</v>
      </c>
      <c r="H321" s="4">
        <v>30000000</v>
      </c>
      <c r="I321" s="4">
        <f t="shared" si="68"/>
        <v>30000000</v>
      </c>
      <c r="J321" s="3">
        <v>210000000000</v>
      </c>
      <c r="K321" s="4">
        <f t="shared" si="69"/>
        <v>8.3700019182102431E-2</v>
      </c>
      <c r="L321" s="6">
        <f t="shared" si="56"/>
        <v>2.5110005754630729</v>
      </c>
      <c r="M321" s="4">
        <f t="shared" si="57"/>
        <v>25300055.286992632</v>
      </c>
      <c r="N321" s="4">
        <f t="shared" si="58"/>
        <v>1511353016.0577636</v>
      </c>
      <c r="O321" s="4">
        <f t="shared" si="59"/>
        <v>107866057684.80704</v>
      </c>
      <c r="P321" s="4">
        <f t="shared" si="60"/>
        <v>-9028391097.3161163</v>
      </c>
      <c r="Q321" s="4">
        <f t="shared" si="63"/>
        <v>0</v>
      </c>
      <c r="R321" s="4">
        <f t="shared" si="63"/>
        <v>0</v>
      </c>
      <c r="S321" s="4">
        <f t="shared" si="63"/>
        <v>0</v>
      </c>
      <c r="T321" s="3"/>
      <c r="U321" s="4">
        <f t="shared" si="61"/>
        <v>78000000</v>
      </c>
      <c r="V321">
        <f t="shared" si="62"/>
        <v>644361009345.33679</v>
      </c>
    </row>
    <row r="322" spans="1:22" x14ac:dyDescent="0.5">
      <c r="A322" s="3">
        <v>35</v>
      </c>
      <c r="B322" s="3">
        <v>1</v>
      </c>
      <c r="C322" s="3">
        <v>5</v>
      </c>
      <c r="D322" s="3">
        <v>30</v>
      </c>
      <c r="E322" s="3">
        <v>6.5000000000000002E-2</v>
      </c>
      <c r="F322" s="3">
        <f t="shared" si="55"/>
        <v>3.068385758787318</v>
      </c>
      <c r="G322" s="5">
        <v>0.3</v>
      </c>
      <c r="H322" s="4">
        <v>30000000</v>
      </c>
      <c r="I322" s="4">
        <f t="shared" si="68"/>
        <v>30000000</v>
      </c>
      <c r="J322" s="3">
        <v>210000000000</v>
      </c>
      <c r="K322" s="4">
        <f t="shared" si="69"/>
        <v>8.3700019182102431E-2</v>
      </c>
      <c r="L322" s="6">
        <f t="shared" si="56"/>
        <v>2.5110005754630729</v>
      </c>
      <c r="M322" s="4">
        <f t="shared" si="57"/>
        <v>25300055.286992632</v>
      </c>
      <c r="N322" s="4">
        <f t="shared" si="58"/>
        <v>1511353016.0577636</v>
      </c>
      <c r="O322" s="4">
        <f t="shared" si="59"/>
        <v>107866057684.80704</v>
      </c>
      <c r="P322" s="4">
        <f t="shared" si="60"/>
        <v>-9028391097.3161163</v>
      </c>
      <c r="Q322" s="4">
        <f t="shared" si="63"/>
        <v>0</v>
      </c>
      <c r="R322" s="4">
        <f t="shared" si="63"/>
        <v>0</v>
      </c>
      <c r="S322" s="4">
        <f t="shared" si="63"/>
        <v>0</v>
      </c>
      <c r="T322" s="3"/>
      <c r="U322" s="4">
        <f t="shared" si="61"/>
        <v>78000000</v>
      </c>
      <c r="V322">
        <f t="shared" si="62"/>
        <v>644361009345.33679</v>
      </c>
    </row>
    <row r="323" spans="1:22" x14ac:dyDescent="0.5">
      <c r="A323" s="3">
        <v>35</v>
      </c>
      <c r="B323" s="3">
        <v>0.99807938574999999</v>
      </c>
      <c r="C323" s="3">
        <v>5</v>
      </c>
      <c r="D323" s="3">
        <v>30</v>
      </c>
      <c r="E323" s="3">
        <v>6.5000000000000002E-2</v>
      </c>
      <c r="F323" s="3">
        <f t="shared" ref="F323:F386" si="70">(3.141592*((C323^4)-(C323-(2*E323))^4))/64</f>
        <v>3.068385758787318</v>
      </c>
      <c r="G323" s="5">
        <v>0.3</v>
      </c>
      <c r="H323" s="4">
        <v>30000000</v>
      </c>
      <c r="I323" s="4">
        <f t="shared" si="68"/>
        <v>29942381.572499998</v>
      </c>
      <c r="J323" s="3">
        <v>210000000000</v>
      </c>
      <c r="K323" s="4">
        <f t="shared" si="69"/>
        <v>8.3700019182102431E-2</v>
      </c>
      <c r="L323" s="6">
        <f t="shared" ref="L323:L386" si="71">K323*D323</f>
        <v>2.5110005754630729</v>
      </c>
      <c r="M323" s="4">
        <f t="shared" ref="M323:M386" si="72">(0.65/C323)*(((2*U323*(1+G323)*C323^4)/(J323*F323))^(1/12))*((2*U323*(1+G323))/(1-G323^2))</f>
        <v>25247418.551487949</v>
      </c>
      <c r="N323" s="4">
        <f t="shared" ref="N323:N386" si="73">IF(L323&gt;=2.5,M323*C323/K323,M323*C323*D323)</f>
        <v>1508208647.87129</v>
      </c>
      <c r="O323" s="4">
        <f t="shared" ref="O323:O386" si="74">IF(L323&gt;=2.5,M323*C323/(2*K323^3),M323*C323*(D323^3)/3)</f>
        <v>107641642477.65106</v>
      </c>
      <c r="P323" s="4">
        <f t="shared" ref="P323:P386" si="75">IF(L323&gt;=2.5,-(M323*C323/(2*K323^2)),-(M323*C323*(D323^2)/2))</f>
        <v>-9009607540.1724052</v>
      </c>
      <c r="Q323" s="4">
        <f t="shared" si="63"/>
        <v>3144368.186473608</v>
      </c>
      <c r="R323" s="4">
        <f t="shared" si="63"/>
        <v>224415207.15597534</v>
      </c>
      <c r="S323" s="4">
        <f t="shared" si="63"/>
        <v>-18783557.14371109</v>
      </c>
      <c r="T323" s="3"/>
      <c r="U323" s="4">
        <f t="shared" ref="U323:U386" si="76">2*I323*(G323+1)</f>
        <v>77850192.088499993</v>
      </c>
      <c r="V323">
        <f t="shared" ref="V323:V386" si="77">J323*F323</f>
        <v>644361009345.33679</v>
      </c>
    </row>
    <row r="324" spans="1:22" x14ac:dyDescent="0.5">
      <c r="A324" s="3">
        <v>35</v>
      </c>
      <c r="B324" s="3">
        <v>0.99231754149999996</v>
      </c>
      <c r="C324" s="3">
        <v>5</v>
      </c>
      <c r="D324" s="3">
        <v>30</v>
      </c>
      <c r="E324" s="3">
        <v>6.5000000000000002E-2</v>
      </c>
      <c r="F324" s="3">
        <f t="shared" si="70"/>
        <v>3.068385758787318</v>
      </c>
      <c r="G324" s="5">
        <v>0.3</v>
      </c>
      <c r="H324" s="4">
        <v>30000000</v>
      </c>
      <c r="I324" s="4">
        <f t="shared" si="68"/>
        <v>29769526.244999997</v>
      </c>
      <c r="J324" s="3">
        <v>210000000000</v>
      </c>
      <c r="K324" s="4">
        <f t="shared" si="69"/>
        <v>8.3700019182102431E-2</v>
      </c>
      <c r="L324" s="6">
        <f t="shared" si="71"/>
        <v>2.5110005754630729</v>
      </c>
      <c r="M324" s="4">
        <f t="shared" si="72"/>
        <v>25089559.004275385</v>
      </c>
      <c r="N324" s="4">
        <f t="shared" si="73"/>
        <v>1498778569.553798</v>
      </c>
      <c r="O324" s="4">
        <f t="shared" si="74"/>
        <v>106968612840.65724</v>
      </c>
      <c r="P324" s="4">
        <f t="shared" si="75"/>
        <v>-8953274946.6458988</v>
      </c>
      <c r="Q324" s="4">
        <f t="shared" ref="Q324:S387" si="78">N323-N324</f>
        <v>9430078.3174920082</v>
      </c>
      <c r="R324" s="4">
        <f t="shared" si="78"/>
        <v>673029636.99382019</v>
      </c>
      <c r="S324" s="4">
        <f t="shared" si="78"/>
        <v>-56332593.526506424</v>
      </c>
      <c r="T324" s="3"/>
      <c r="U324" s="4">
        <f t="shared" si="76"/>
        <v>77400768.236999989</v>
      </c>
      <c r="V324">
        <f t="shared" si="77"/>
        <v>644361009345.33679</v>
      </c>
    </row>
    <row r="325" spans="1:22" x14ac:dyDescent="0.5">
      <c r="A325" s="3">
        <v>35</v>
      </c>
      <c r="B325" s="3">
        <v>0.98543533924999993</v>
      </c>
      <c r="C325" s="3">
        <v>5</v>
      </c>
      <c r="D325" s="3">
        <v>30</v>
      </c>
      <c r="E325" s="3">
        <v>6.5000000000000002E-2</v>
      </c>
      <c r="F325" s="3">
        <f t="shared" si="70"/>
        <v>3.068385758787318</v>
      </c>
      <c r="G325" s="5">
        <v>0.3</v>
      </c>
      <c r="H325" s="4">
        <v>30000000</v>
      </c>
      <c r="I325" s="4">
        <f t="shared" si="68"/>
        <v>29563060.177499998</v>
      </c>
      <c r="J325" s="3">
        <v>210000000000</v>
      </c>
      <c r="K325" s="4">
        <f t="shared" si="69"/>
        <v>8.3700019182102431E-2</v>
      </c>
      <c r="L325" s="6">
        <f t="shared" si="71"/>
        <v>2.5110005754630729</v>
      </c>
      <c r="M325" s="4">
        <f t="shared" si="72"/>
        <v>24901104.678815443</v>
      </c>
      <c r="N325" s="4">
        <f t="shared" si="73"/>
        <v>1487520846.5985658</v>
      </c>
      <c r="O325" s="4">
        <f t="shared" si="74"/>
        <v>106165143246.99733</v>
      </c>
      <c r="P325" s="4">
        <f t="shared" si="75"/>
        <v>-8886024526.2443275</v>
      </c>
      <c r="Q325" s="4">
        <f t="shared" si="78"/>
        <v>11257722.955232143</v>
      </c>
      <c r="R325" s="4">
        <f t="shared" si="78"/>
        <v>803469593.65991211</v>
      </c>
      <c r="S325" s="4">
        <f t="shared" si="78"/>
        <v>-67250420.401571274</v>
      </c>
      <c r="T325" s="3"/>
      <c r="U325" s="4">
        <f t="shared" si="76"/>
        <v>76863956.461500004</v>
      </c>
      <c r="V325">
        <f t="shared" si="77"/>
        <v>644361009345.33679</v>
      </c>
    </row>
    <row r="326" spans="1:22" x14ac:dyDescent="0.5">
      <c r="A326" s="3">
        <v>35</v>
      </c>
      <c r="B326" s="3">
        <v>0.97663252225000008</v>
      </c>
      <c r="C326" s="3">
        <v>5</v>
      </c>
      <c r="D326" s="3">
        <v>30</v>
      </c>
      <c r="E326" s="3">
        <v>6.5000000000000002E-2</v>
      </c>
      <c r="F326" s="3">
        <f t="shared" si="70"/>
        <v>3.068385758787318</v>
      </c>
      <c r="G326" s="5">
        <v>0.3</v>
      </c>
      <c r="H326" s="4">
        <v>30000000</v>
      </c>
      <c r="I326" s="4">
        <f t="shared" si="68"/>
        <v>29298975.667500004</v>
      </c>
      <c r="J326" s="3">
        <v>210000000000</v>
      </c>
      <c r="K326" s="4">
        <f t="shared" si="69"/>
        <v>8.3700019182102431E-2</v>
      </c>
      <c r="L326" s="6">
        <f t="shared" si="71"/>
        <v>2.5110005754630729</v>
      </c>
      <c r="M326" s="4">
        <f t="shared" si="72"/>
        <v>24660218.356570557</v>
      </c>
      <c r="N326" s="4">
        <f t="shared" si="73"/>
        <v>1473130985.9630027</v>
      </c>
      <c r="O326" s="4">
        <f t="shared" si="74"/>
        <v>105138131343.8215</v>
      </c>
      <c r="P326" s="4">
        <f t="shared" si="75"/>
        <v>-8800063610.2482643</v>
      </c>
      <c r="Q326" s="4">
        <f t="shared" si="78"/>
        <v>14389860.635563135</v>
      </c>
      <c r="R326" s="4">
        <f t="shared" si="78"/>
        <v>1027011903.175827</v>
      </c>
      <c r="S326" s="4">
        <f t="shared" si="78"/>
        <v>-85960915.996063232</v>
      </c>
      <c r="T326" s="3"/>
      <c r="U326" s="4">
        <f t="shared" si="76"/>
        <v>76177336.735500008</v>
      </c>
      <c r="V326">
        <f t="shared" si="77"/>
        <v>644361009345.33679</v>
      </c>
    </row>
    <row r="327" spans="1:22" x14ac:dyDescent="0.5">
      <c r="A327" s="3">
        <v>35</v>
      </c>
      <c r="B327" s="3">
        <v>0.96542893750000003</v>
      </c>
      <c r="C327" s="3">
        <v>5</v>
      </c>
      <c r="D327" s="3">
        <v>30</v>
      </c>
      <c r="E327" s="3">
        <v>6.5000000000000002E-2</v>
      </c>
      <c r="F327" s="3">
        <f t="shared" si="70"/>
        <v>3.068385758787318</v>
      </c>
      <c r="G327" s="5">
        <v>0.3</v>
      </c>
      <c r="H327" s="4">
        <v>30000000</v>
      </c>
      <c r="I327" s="4">
        <f t="shared" si="68"/>
        <v>28962868.125</v>
      </c>
      <c r="J327" s="3">
        <v>210000000000</v>
      </c>
      <c r="K327" s="4">
        <f t="shared" si="69"/>
        <v>8.3700019182102431E-2</v>
      </c>
      <c r="L327" s="6">
        <f t="shared" si="71"/>
        <v>2.5110005754630729</v>
      </c>
      <c r="M327" s="4">
        <f t="shared" si="72"/>
        <v>24353897.563750025</v>
      </c>
      <c r="N327" s="4">
        <f t="shared" si="73"/>
        <v>1454832257.0132468</v>
      </c>
      <c r="O327" s="4">
        <f t="shared" si="74"/>
        <v>103832141458.2807</v>
      </c>
      <c r="P327" s="4">
        <f t="shared" si="75"/>
        <v>-8690752231.7768669</v>
      </c>
      <c r="Q327" s="4">
        <f t="shared" si="78"/>
        <v>18298728.949755907</v>
      </c>
      <c r="R327" s="4">
        <f t="shared" si="78"/>
        <v>1305989885.540802</v>
      </c>
      <c r="S327" s="4">
        <f t="shared" si="78"/>
        <v>-109311378.4713974</v>
      </c>
      <c r="T327" s="3"/>
      <c r="U327" s="4">
        <f t="shared" si="76"/>
        <v>75303457.125</v>
      </c>
      <c r="V327">
        <f t="shared" si="77"/>
        <v>644361009345.33679</v>
      </c>
    </row>
    <row r="328" spans="1:22" x14ac:dyDescent="0.5">
      <c r="A328" s="3">
        <v>35</v>
      </c>
      <c r="B328" s="3">
        <v>0.95326504499999998</v>
      </c>
      <c r="C328" s="3">
        <v>5</v>
      </c>
      <c r="D328" s="3">
        <v>30</v>
      </c>
      <c r="E328" s="3">
        <v>6.5000000000000002E-2</v>
      </c>
      <c r="F328" s="3">
        <f t="shared" si="70"/>
        <v>3.068385758787318</v>
      </c>
      <c r="G328" s="5">
        <v>0.3</v>
      </c>
      <c r="H328" s="4">
        <v>30000000</v>
      </c>
      <c r="I328" s="4">
        <f t="shared" si="68"/>
        <v>28597951.349999998</v>
      </c>
      <c r="J328" s="3">
        <v>210000000000</v>
      </c>
      <c r="K328" s="4">
        <f t="shared" si="69"/>
        <v>8.3700019182102431E-2</v>
      </c>
      <c r="L328" s="6">
        <f t="shared" si="71"/>
        <v>2.5110005754630729</v>
      </c>
      <c r="M328" s="4">
        <f t="shared" si="72"/>
        <v>24021656.044443931</v>
      </c>
      <c r="N328" s="4">
        <f t="shared" si="73"/>
        <v>1434985097.9233994</v>
      </c>
      <c r="O328" s="4">
        <f t="shared" si="74"/>
        <v>102415639301.26036</v>
      </c>
      <c r="P328" s="4">
        <f t="shared" si="75"/>
        <v>-8572190974.0627756</v>
      </c>
      <c r="Q328" s="4">
        <f t="shared" si="78"/>
        <v>19847159.089847326</v>
      </c>
      <c r="R328" s="4">
        <f t="shared" si="78"/>
        <v>1416502157.02034</v>
      </c>
      <c r="S328" s="4">
        <f t="shared" si="78"/>
        <v>-118561257.7140913</v>
      </c>
      <c r="T328" s="3"/>
      <c r="U328" s="4">
        <f t="shared" si="76"/>
        <v>74354673.50999999</v>
      </c>
      <c r="V328">
        <f t="shared" si="77"/>
        <v>644361009345.33679</v>
      </c>
    </row>
    <row r="329" spans="1:22" x14ac:dyDescent="0.5">
      <c r="A329" s="3">
        <v>35</v>
      </c>
      <c r="B329" s="3">
        <v>0.93709987149999996</v>
      </c>
      <c r="C329" s="3">
        <v>5</v>
      </c>
      <c r="D329" s="3">
        <v>30</v>
      </c>
      <c r="E329" s="3">
        <v>6.5000000000000002E-2</v>
      </c>
      <c r="F329" s="3">
        <f t="shared" si="70"/>
        <v>3.068385758787318</v>
      </c>
      <c r="G329" s="5">
        <v>0.3</v>
      </c>
      <c r="H329" s="4">
        <v>30000000</v>
      </c>
      <c r="I329" s="4">
        <f t="shared" si="68"/>
        <v>28112996.145</v>
      </c>
      <c r="J329" s="3">
        <v>210000000000</v>
      </c>
      <c r="K329" s="4">
        <f t="shared" si="69"/>
        <v>8.3700019182102431E-2</v>
      </c>
      <c r="L329" s="6">
        <f t="shared" si="71"/>
        <v>2.5110005754630729</v>
      </c>
      <c r="M329" s="4">
        <f t="shared" si="72"/>
        <v>23580671.691435032</v>
      </c>
      <c r="N329" s="4">
        <f t="shared" si="73"/>
        <v>1408641952.6458893</v>
      </c>
      <c r="O329" s="4">
        <f t="shared" si="74"/>
        <v>100535515201.91855</v>
      </c>
      <c r="P329" s="4">
        <f t="shared" si="75"/>
        <v>-8414824550.883132</v>
      </c>
      <c r="Q329" s="4">
        <f t="shared" si="78"/>
        <v>26343145.277510166</v>
      </c>
      <c r="R329" s="4">
        <f t="shared" si="78"/>
        <v>1880124099.3418121</v>
      </c>
      <c r="S329" s="4">
        <f t="shared" si="78"/>
        <v>-157366423.17964363</v>
      </c>
      <c r="T329" s="3"/>
      <c r="U329" s="4">
        <f t="shared" si="76"/>
        <v>73093789.976999998</v>
      </c>
      <c r="V329">
        <f t="shared" si="77"/>
        <v>644361009345.33679</v>
      </c>
    </row>
    <row r="330" spans="1:22" x14ac:dyDescent="0.5">
      <c r="A330" s="3">
        <v>35</v>
      </c>
      <c r="B330" s="3">
        <v>0.91933418649999998</v>
      </c>
      <c r="C330" s="3">
        <v>5</v>
      </c>
      <c r="D330" s="3">
        <v>30</v>
      </c>
      <c r="E330" s="3">
        <v>6.5000000000000002E-2</v>
      </c>
      <c r="F330" s="3">
        <f t="shared" si="70"/>
        <v>3.068385758787318</v>
      </c>
      <c r="G330" s="5">
        <v>0.3</v>
      </c>
      <c r="H330" s="4">
        <v>30000000</v>
      </c>
      <c r="I330" s="4">
        <f t="shared" si="68"/>
        <v>27580025.594999999</v>
      </c>
      <c r="J330" s="3">
        <v>210000000000</v>
      </c>
      <c r="K330" s="4">
        <f t="shared" si="69"/>
        <v>8.3700019182102431E-2</v>
      </c>
      <c r="L330" s="6">
        <f t="shared" si="71"/>
        <v>2.5110005754630729</v>
      </c>
      <c r="M330" s="4">
        <f t="shared" si="72"/>
        <v>23096756.612364087</v>
      </c>
      <c r="N330" s="4">
        <f t="shared" si="73"/>
        <v>1379734248.4542024</v>
      </c>
      <c r="O330" s="4">
        <f t="shared" si="74"/>
        <v>98472357187.380493</v>
      </c>
      <c r="P330" s="4">
        <f t="shared" si="75"/>
        <v>-8242138185.4905891</v>
      </c>
      <c r="Q330" s="4">
        <f t="shared" si="78"/>
        <v>28907704.191686869</v>
      </c>
      <c r="R330" s="4">
        <f t="shared" si="78"/>
        <v>2063158014.5380554</v>
      </c>
      <c r="S330" s="4">
        <f t="shared" si="78"/>
        <v>-172686365.39254284</v>
      </c>
      <c r="T330" s="3"/>
      <c r="U330" s="4">
        <f t="shared" si="76"/>
        <v>71708066.547000006</v>
      </c>
      <c r="V330">
        <f t="shared" si="77"/>
        <v>644361009345.33679</v>
      </c>
    </row>
    <row r="331" spans="1:22" x14ac:dyDescent="0.5">
      <c r="A331" s="3">
        <v>35</v>
      </c>
      <c r="B331" s="3">
        <v>0.89468629924999998</v>
      </c>
      <c r="C331" s="3">
        <v>5</v>
      </c>
      <c r="D331" s="3">
        <v>30</v>
      </c>
      <c r="E331" s="3">
        <v>6.5000000000000002E-2</v>
      </c>
      <c r="F331" s="3">
        <f t="shared" si="70"/>
        <v>3.068385758787318</v>
      </c>
      <c r="G331" s="5">
        <v>0.3</v>
      </c>
      <c r="H331" s="4">
        <v>30000000</v>
      </c>
      <c r="I331" s="4">
        <f t="shared" si="68"/>
        <v>26840588.977499999</v>
      </c>
      <c r="J331" s="3">
        <v>210000000000</v>
      </c>
      <c r="K331" s="4">
        <f t="shared" si="69"/>
        <v>8.3700019182102431E-2</v>
      </c>
      <c r="L331" s="6">
        <f t="shared" si="71"/>
        <v>2.5110005754630729</v>
      </c>
      <c r="M331" s="4">
        <f t="shared" si="72"/>
        <v>22426671.549629778</v>
      </c>
      <c r="N331" s="4">
        <f t="shared" si="73"/>
        <v>1339705281.3594379</v>
      </c>
      <c r="O331" s="4">
        <f t="shared" si="74"/>
        <v>95615468804.698303</v>
      </c>
      <c r="P331" s="4">
        <f t="shared" si="75"/>
        <v>-8003016573.0589638</v>
      </c>
      <c r="Q331" s="4">
        <f t="shared" si="78"/>
        <v>40028967.094764471</v>
      </c>
      <c r="R331" s="4">
        <f t="shared" si="78"/>
        <v>2856888382.6821899</v>
      </c>
      <c r="S331" s="4">
        <f t="shared" si="78"/>
        <v>-239121612.43162537</v>
      </c>
      <c r="T331" s="3"/>
      <c r="U331" s="4">
        <f t="shared" si="76"/>
        <v>69785531.341499999</v>
      </c>
      <c r="V331">
        <f t="shared" si="77"/>
        <v>644361009345.33679</v>
      </c>
    </row>
    <row r="332" spans="1:22" x14ac:dyDescent="0.5">
      <c r="A332" s="3">
        <v>35</v>
      </c>
      <c r="B332" s="3">
        <v>0.86971830974999997</v>
      </c>
      <c r="C332" s="3">
        <v>5</v>
      </c>
      <c r="D332" s="3">
        <v>30</v>
      </c>
      <c r="E332" s="3">
        <v>6.5000000000000002E-2</v>
      </c>
      <c r="F332" s="3">
        <f t="shared" si="70"/>
        <v>3.068385758787318</v>
      </c>
      <c r="G332" s="5">
        <v>0.3</v>
      </c>
      <c r="H332" s="4">
        <v>30000000</v>
      </c>
      <c r="I332" s="4">
        <f t="shared" si="68"/>
        <v>26091549.2925</v>
      </c>
      <c r="J332" s="3">
        <v>210000000000</v>
      </c>
      <c r="K332" s="4">
        <f t="shared" si="69"/>
        <v>8.3700019182102431E-2</v>
      </c>
      <c r="L332" s="6">
        <f t="shared" si="71"/>
        <v>2.5110005754630729</v>
      </c>
      <c r="M332" s="4">
        <f t="shared" si="72"/>
        <v>21749451.109195359</v>
      </c>
      <c r="N332" s="4">
        <f t="shared" si="73"/>
        <v>1299250067.1879201</v>
      </c>
      <c r="O332" s="4">
        <f t="shared" si="74"/>
        <v>92728158944.518433</v>
      </c>
      <c r="P332" s="4">
        <f t="shared" si="75"/>
        <v>-7761348682.3772354</v>
      </c>
      <c r="Q332" s="4">
        <f t="shared" si="78"/>
        <v>40455214.171517849</v>
      </c>
      <c r="R332" s="4">
        <f t="shared" si="78"/>
        <v>2887309860.1798706</v>
      </c>
      <c r="S332" s="4">
        <f t="shared" si="78"/>
        <v>-241667890.68172836</v>
      </c>
      <c r="T332" s="3"/>
      <c r="U332" s="4">
        <f t="shared" si="76"/>
        <v>67838028.160500005</v>
      </c>
      <c r="V332">
        <f t="shared" si="77"/>
        <v>644361009345.33679</v>
      </c>
    </row>
    <row r="333" spans="1:22" x14ac:dyDescent="0.5">
      <c r="A333" s="3">
        <v>35</v>
      </c>
      <c r="B333" s="3">
        <v>0.84218950100000001</v>
      </c>
      <c r="C333" s="3">
        <v>5</v>
      </c>
      <c r="D333" s="3">
        <v>30</v>
      </c>
      <c r="E333" s="3">
        <v>6.5000000000000002E-2</v>
      </c>
      <c r="F333" s="3">
        <f t="shared" si="70"/>
        <v>3.068385758787318</v>
      </c>
      <c r="G333" s="5">
        <v>0.3</v>
      </c>
      <c r="H333" s="4">
        <v>30000000</v>
      </c>
      <c r="I333" s="4">
        <f t="shared" si="68"/>
        <v>25265685.030000001</v>
      </c>
      <c r="J333" s="3">
        <v>210000000000</v>
      </c>
      <c r="K333" s="4">
        <f t="shared" si="69"/>
        <v>8.3700019182102431E-2</v>
      </c>
      <c r="L333" s="6">
        <f t="shared" si="71"/>
        <v>2.5110005754630729</v>
      </c>
      <c r="M333" s="4">
        <f t="shared" si="72"/>
        <v>21004649.802307181</v>
      </c>
      <c r="N333" s="4">
        <f t="shared" si="73"/>
        <v>1254757765.1450889</v>
      </c>
      <c r="O333" s="4">
        <f t="shared" si="74"/>
        <v>89552720004.911697</v>
      </c>
      <c r="P333" s="4">
        <f t="shared" si="75"/>
        <v>-7495564382.2205572</v>
      </c>
      <c r="Q333" s="4">
        <f t="shared" si="78"/>
        <v>44492302.042831182</v>
      </c>
      <c r="R333" s="4">
        <f t="shared" si="78"/>
        <v>3175438939.6067352</v>
      </c>
      <c r="S333" s="4">
        <f t="shared" si="78"/>
        <v>-265784300.1566782</v>
      </c>
      <c r="T333" s="3"/>
      <c r="U333" s="4">
        <f t="shared" si="76"/>
        <v>65690781.078000009</v>
      </c>
      <c r="V333">
        <f t="shared" si="77"/>
        <v>644361009345.33679</v>
      </c>
    </row>
    <row r="334" spans="1:22" x14ac:dyDescent="0.5">
      <c r="A334" s="3">
        <v>35</v>
      </c>
      <c r="B334" s="3">
        <v>0.81193982049999991</v>
      </c>
      <c r="C334" s="3">
        <v>5</v>
      </c>
      <c r="D334" s="3">
        <v>30</v>
      </c>
      <c r="E334" s="3">
        <v>6.5000000000000002E-2</v>
      </c>
      <c r="F334" s="3">
        <f t="shared" si="70"/>
        <v>3.068385758787318</v>
      </c>
      <c r="G334" s="5">
        <v>0.3</v>
      </c>
      <c r="H334" s="4">
        <v>30000000</v>
      </c>
      <c r="I334" s="4">
        <f t="shared" si="68"/>
        <v>24358194.614999998</v>
      </c>
      <c r="J334" s="3">
        <v>210000000000</v>
      </c>
      <c r="K334" s="4">
        <f t="shared" si="69"/>
        <v>8.3700019182102431E-2</v>
      </c>
      <c r="L334" s="6">
        <f t="shared" si="71"/>
        <v>2.5110005754630729</v>
      </c>
      <c r="M334" s="4">
        <f t="shared" si="72"/>
        <v>20188573.422787312</v>
      </c>
      <c r="N334" s="4">
        <f t="shared" si="73"/>
        <v>1206007693.9088821</v>
      </c>
      <c r="O334" s="4">
        <f t="shared" si="74"/>
        <v>86073401844.142487</v>
      </c>
      <c r="P334" s="4">
        <f t="shared" si="75"/>
        <v>-7204345385.4235353</v>
      </c>
      <c r="Q334" s="4">
        <f t="shared" si="78"/>
        <v>48750071.23620677</v>
      </c>
      <c r="R334" s="4">
        <f t="shared" si="78"/>
        <v>3479318160.7692108</v>
      </c>
      <c r="S334" s="4">
        <f t="shared" si="78"/>
        <v>-291218996.79702187</v>
      </c>
      <c r="T334" s="3"/>
      <c r="U334" s="4">
        <f t="shared" si="76"/>
        <v>63331305.998999998</v>
      </c>
      <c r="V334">
        <f t="shared" si="77"/>
        <v>644361009345.33679</v>
      </c>
    </row>
    <row r="335" spans="1:22" x14ac:dyDescent="0.5">
      <c r="A335" s="3">
        <v>35</v>
      </c>
      <c r="B335" s="3">
        <v>0.77672855299999999</v>
      </c>
      <c r="C335" s="3">
        <v>5</v>
      </c>
      <c r="D335" s="3">
        <v>30</v>
      </c>
      <c r="E335" s="3">
        <v>6.5000000000000002E-2</v>
      </c>
      <c r="F335" s="3">
        <f t="shared" si="70"/>
        <v>3.068385758787318</v>
      </c>
      <c r="G335" s="5">
        <v>0.3</v>
      </c>
      <c r="H335" s="4">
        <v>30000000</v>
      </c>
      <c r="I335" s="4">
        <f t="shared" si="68"/>
        <v>23301856.59</v>
      </c>
      <c r="J335" s="3">
        <v>210000000000</v>
      </c>
      <c r="K335" s="4">
        <f t="shared" si="69"/>
        <v>8.3700019182102431E-2</v>
      </c>
      <c r="L335" s="6">
        <f t="shared" si="71"/>
        <v>2.5110005754630729</v>
      </c>
      <c r="M335" s="4">
        <f t="shared" si="72"/>
        <v>19241836.19163458</v>
      </c>
      <c r="N335" s="4">
        <f t="shared" si="73"/>
        <v>1149452316.7175725</v>
      </c>
      <c r="O335" s="4">
        <f t="shared" si="74"/>
        <v>82037014902.317184</v>
      </c>
      <c r="P335" s="4">
        <f t="shared" si="75"/>
        <v>-6866499720.9663715</v>
      </c>
      <c r="Q335" s="4">
        <f t="shared" si="78"/>
        <v>56555377.19130969</v>
      </c>
      <c r="R335" s="4">
        <f t="shared" si="78"/>
        <v>4036386941.8253021</v>
      </c>
      <c r="S335" s="4">
        <f t="shared" si="78"/>
        <v>-337845664.45716381</v>
      </c>
      <c r="T335" s="3"/>
      <c r="U335" s="4">
        <f t="shared" si="76"/>
        <v>60584827.134000003</v>
      </c>
      <c r="V335">
        <f t="shared" si="77"/>
        <v>644361009345.33679</v>
      </c>
    </row>
    <row r="336" spans="1:22" x14ac:dyDescent="0.5">
      <c r="A336" s="3">
        <v>35</v>
      </c>
      <c r="B336" s="3">
        <v>0.74023687574999997</v>
      </c>
      <c r="C336" s="3">
        <v>5</v>
      </c>
      <c r="D336" s="3">
        <v>30</v>
      </c>
      <c r="E336" s="3">
        <v>6.5000000000000002E-2</v>
      </c>
      <c r="F336" s="3">
        <f t="shared" si="70"/>
        <v>3.068385758787318</v>
      </c>
      <c r="G336" s="5">
        <v>0.3</v>
      </c>
      <c r="H336" s="4">
        <v>30000000</v>
      </c>
      <c r="I336" s="4">
        <f t="shared" si="68"/>
        <v>22207106.272499997</v>
      </c>
      <c r="J336" s="3">
        <v>210000000000</v>
      </c>
      <c r="K336" s="4">
        <f t="shared" si="69"/>
        <v>8.3700019182102431E-2</v>
      </c>
      <c r="L336" s="6">
        <f t="shared" si="71"/>
        <v>2.5110005754630729</v>
      </c>
      <c r="M336" s="4">
        <f t="shared" si="72"/>
        <v>18264442.176474534</v>
      </c>
      <c r="N336" s="4">
        <f t="shared" si="73"/>
        <v>1091065590.8415861</v>
      </c>
      <c r="O336" s="4">
        <f t="shared" si="74"/>
        <v>77869923644.052567</v>
      </c>
      <c r="P336" s="4">
        <f t="shared" si="75"/>
        <v>-6517714102.7160511</v>
      </c>
      <c r="Q336" s="4">
        <f t="shared" si="78"/>
        <v>58386725.875986338</v>
      </c>
      <c r="R336" s="4">
        <f t="shared" si="78"/>
        <v>4167091258.2646179</v>
      </c>
      <c r="S336" s="4">
        <f t="shared" si="78"/>
        <v>-348785618.25032043</v>
      </c>
      <c r="T336" s="3"/>
      <c r="U336" s="4">
        <f t="shared" si="76"/>
        <v>57738476.308499992</v>
      </c>
      <c r="V336">
        <f t="shared" si="77"/>
        <v>644361009345.33679</v>
      </c>
    </row>
    <row r="337" spans="1:22" x14ac:dyDescent="0.5">
      <c r="A337" s="3">
        <v>35</v>
      </c>
      <c r="B337" s="3">
        <v>0.70086427649999994</v>
      </c>
      <c r="C337" s="3">
        <v>5</v>
      </c>
      <c r="D337" s="3">
        <v>30</v>
      </c>
      <c r="E337" s="3">
        <v>6.5000000000000002E-2</v>
      </c>
      <c r="F337" s="3">
        <f t="shared" si="70"/>
        <v>3.068385758787318</v>
      </c>
      <c r="G337" s="5">
        <v>0.3</v>
      </c>
      <c r="H337" s="4">
        <v>30000000</v>
      </c>
      <c r="I337" s="4">
        <f t="shared" si="68"/>
        <v>21025928.294999998</v>
      </c>
      <c r="J337" s="3">
        <v>210000000000</v>
      </c>
      <c r="K337" s="4">
        <f t="shared" si="69"/>
        <v>8.3700019182102431E-2</v>
      </c>
      <c r="L337" s="6">
        <f t="shared" si="71"/>
        <v>2.5110005754630729</v>
      </c>
      <c r="M337" s="4">
        <f t="shared" si="72"/>
        <v>17214386.708991032</v>
      </c>
      <c r="N337" s="4">
        <f t="shared" si="73"/>
        <v>1028338277.4105734</v>
      </c>
      <c r="O337" s="4">
        <f t="shared" si="74"/>
        <v>73393042374.703918</v>
      </c>
      <c r="P337" s="4">
        <f t="shared" si="75"/>
        <v>-6142999054.5955744</v>
      </c>
      <c r="Q337" s="4">
        <f t="shared" si="78"/>
        <v>62727313.43101275</v>
      </c>
      <c r="R337" s="4">
        <f t="shared" si="78"/>
        <v>4476881269.3486481</v>
      </c>
      <c r="S337" s="4">
        <f t="shared" si="78"/>
        <v>-374715048.12047672</v>
      </c>
      <c r="T337" s="3"/>
      <c r="U337" s="4">
        <f t="shared" si="76"/>
        <v>54667413.566999994</v>
      </c>
      <c r="V337">
        <f t="shared" si="77"/>
        <v>644361009345.33679</v>
      </c>
    </row>
    <row r="338" spans="1:22" x14ac:dyDescent="0.5">
      <c r="A338" s="3">
        <v>35</v>
      </c>
      <c r="B338" s="3">
        <v>0.65925096024999996</v>
      </c>
      <c r="C338" s="3">
        <v>5</v>
      </c>
      <c r="D338" s="3">
        <v>30</v>
      </c>
      <c r="E338" s="3">
        <v>6.5000000000000002E-2</v>
      </c>
      <c r="F338" s="3">
        <f t="shared" si="70"/>
        <v>3.068385758787318</v>
      </c>
      <c r="G338" s="5">
        <v>0.3</v>
      </c>
      <c r="H338" s="4">
        <v>30000000</v>
      </c>
      <c r="I338" s="4">
        <f t="shared" si="68"/>
        <v>19777528.807499997</v>
      </c>
      <c r="J338" s="3">
        <v>210000000000</v>
      </c>
      <c r="K338" s="4">
        <f t="shared" si="69"/>
        <v>8.3700019182102431E-2</v>
      </c>
      <c r="L338" s="6">
        <f t="shared" si="71"/>
        <v>2.5110005754630729</v>
      </c>
      <c r="M338" s="4">
        <f t="shared" si="72"/>
        <v>16109910.915129829</v>
      </c>
      <c r="N338" s="4">
        <f t="shared" si="73"/>
        <v>962360049.17037165</v>
      </c>
      <c r="O338" s="4">
        <f t="shared" si="74"/>
        <v>68684141609.836578</v>
      </c>
      <c r="P338" s="4">
        <f t="shared" si="75"/>
        <v>-5748863970.2495604</v>
      </c>
      <c r="Q338" s="4">
        <f t="shared" si="78"/>
        <v>65978228.240201712</v>
      </c>
      <c r="R338" s="4">
        <f t="shared" si="78"/>
        <v>4708900764.8673401</v>
      </c>
      <c r="S338" s="4">
        <f t="shared" si="78"/>
        <v>-394135084.34601402</v>
      </c>
      <c r="T338" s="3"/>
      <c r="U338" s="4">
        <f t="shared" si="76"/>
        <v>51421574.899499997</v>
      </c>
      <c r="V338">
        <f t="shared" si="77"/>
        <v>644361009345.33679</v>
      </c>
    </row>
    <row r="339" spans="1:22" x14ac:dyDescent="0.5">
      <c r="A339" s="3">
        <v>35</v>
      </c>
      <c r="B339" s="3">
        <v>0.61763764374999996</v>
      </c>
      <c r="C339" s="3">
        <v>5</v>
      </c>
      <c r="D339" s="3">
        <v>30</v>
      </c>
      <c r="E339" s="3">
        <v>6.5000000000000002E-2</v>
      </c>
      <c r="F339" s="3">
        <f t="shared" si="70"/>
        <v>3.068385758787318</v>
      </c>
      <c r="G339" s="5">
        <v>0.3</v>
      </c>
      <c r="H339" s="4">
        <v>30000000</v>
      </c>
      <c r="I339" s="4">
        <f t="shared" si="68"/>
        <v>18529129.3125</v>
      </c>
      <c r="J339" s="3">
        <v>210000000000</v>
      </c>
      <c r="K339" s="4">
        <f t="shared" si="69"/>
        <v>8.3700019182102431E-2</v>
      </c>
      <c r="L339" s="6">
        <f t="shared" si="71"/>
        <v>2.5110005754630729</v>
      </c>
      <c r="M339" s="4">
        <f t="shared" si="72"/>
        <v>15011233.282408701</v>
      </c>
      <c r="N339" s="4">
        <f t="shared" si="73"/>
        <v>896728186.51029372</v>
      </c>
      <c r="O339" s="4">
        <f t="shared" si="74"/>
        <v>63999961138.142784</v>
      </c>
      <c r="P339" s="4">
        <f t="shared" si="75"/>
        <v>-5356797974.9163609</v>
      </c>
      <c r="Q339" s="4">
        <f t="shared" si="78"/>
        <v>65631862.660077929</v>
      </c>
      <c r="R339" s="4">
        <f t="shared" si="78"/>
        <v>4684180471.6937943</v>
      </c>
      <c r="S339" s="4">
        <f t="shared" si="78"/>
        <v>-392065995.3331995</v>
      </c>
      <c r="T339" s="3"/>
      <c r="U339" s="4">
        <f t="shared" si="76"/>
        <v>48175736.212499999</v>
      </c>
      <c r="V339">
        <f t="shared" si="77"/>
        <v>644361009345.33679</v>
      </c>
    </row>
    <row r="340" spans="1:22" x14ac:dyDescent="0.5">
      <c r="A340" s="3">
        <v>35</v>
      </c>
      <c r="B340" s="3">
        <v>0.57634443000000002</v>
      </c>
      <c r="C340" s="3">
        <v>5</v>
      </c>
      <c r="D340" s="3">
        <v>30</v>
      </c>
      <c r="E340" s="3">
        <v>6.5000000000000002E-2</v>
      </c>
      <c r="F340" s="3">
        <f t="shared" si="70"/>
        <v>3.068385758787318</v>
      </c>
      <c r="G340" s="5">
        <v>0.3</v>
      </c>
      <c r="H340" s="4">
        <v>30000000</v>
      </c>
      <c r="I340" s="4">
        <f t="shared" si="68"/>
        <v>17290332.900000002</v>
      </c>
      <c r="J340" s="3">
        <v>210000000000</v>
      </c>
      <c r="K340" s="4">
        <f t="shared" si="69"/>
        <v>8.3700019182102431E-2</v>
      </c>
      <c r="L340" s="6">
        <f t="shared" si="71"/>
        <v>2.5110005754630729</v>
      </c>
      <c r="M340" s="4">
        <f t="shared" si="72"/>
        <v>13927090.966555228</v>
      </c>
      <c r="N340" s="4">
        <f t="shared" si="73"/>
        <v>831964622.14988697</v>
      </c>
      <c r="O340" s="4">
        <f t="shared" si="74"/>
        <v>59377751571.647728</v>
      </c>
      <c r="P340" s="4">
        <f t="shared" si="75"/>
        <v>-4969918945.5370274</v>
      </c>
      <c r="Q340" s="4">
        <f t="shared" si="78"/>
        <v>64763564.360406756</v>
      </c>
      <c r="R340" s="4">
        <f t="shared" si="78"/>
        <v>4622209566.4950562</v>
      </c>
      <c r="S340" s="4">
        <f t="shared" si="78"/>
        <v>-386879029.3793335</v>
      </c>
      <c r="T340" s="3"/>
      <c r="U340" s="4">
        <f t="shared" si="76"/>
        <v>44954865.540000007</v>
      </c>
      <c r="V340">
        <f t="shared" si="77"/>
        <v>644361009345.33679</v>
      </c>
    </row>
    <row r="341" spans="1:22" x14ac:dyDescent="0.5">
      <c r="A341" s="3">
        <v>35</v>
      </c>
      <c r="B341" s="3">
        <v>0.53505121649999998</v>
      </c>
      <c r="C341" s="3">
        <v>5</v>
      </c>
      <c r="D341" s="3">
        <v>30</v>
      </c>
      <c r="E341" s="3">
        <v>6.5000000000000002E-2</v>
      </c>
      <c r="F341" s="3">
        <f t="shared" si="70"/>
        <v>3.068385758787318</v>
      </c>
      <c r="G341" s="5">
        <v>0.3</v>
      </c>
      <c r="H341" s="4">
        <v>30000000</v>
      </c>
      <c r="I341" s="4">
        <f t="shared" si="68"/>
        <v>16051536.494999999</v>
      </c>
      <c r="J341" s="3">
        <v>210000000000</v>
      </c>
      <c r="K341" s="4">
        <f t="shared" si="69"/>
        <v>8.3700019182102431E-2</v>
      </c>
      <c r="L341" s="6">
        <f t="shared" si="71"/>
        <v>2.5110005754630729</v>
      </c>
      <c r="M341" s="4">
        <f t="shared" si="72"/>
        <v>12849407.59883968</v>
      </c>
      <c r="N341" s="4">
        <f t="shared" si="73"/>
        <v>767586896.89686882</v>
      </c>
      <c r="O341" s="4">
        <f t="shared" si="74"/>
        <v>54783079544.676819</v>
      </c>
      <c r="P341" s="4">
        <f t="shared" si="75"/>
        <v>-4585344808.7440929</v>
      </c>
      <c r="Q341" s="4">
        <f t="shared" si="78"/>
        <v>64377725.253018141</v>
      </c>
      <c r="R341" s="4">
        <f t="shared" si="78"/>
        <v>4594672026.9709091</v>
      </c>
      <c r="S341" s="4">
        <f t="shared" si="78"/>
        <v>-384574136.79293442</v>
      </c>
      <c r="T341" s="3"/>
      <c r="U341" s="4">
        <f t="shared" si="76"/>
        <v>41733994.887000002</v>
      </c>
      <c r="V341">
        <f t="shared" si="77"/>
        <v>644361009345.33679</v>
      </c>
    </row>
    <row r="342" spans="1:22" x14ac:dyDescent="0.5">
      <c r="A342" s="3">
        <v>35</v>
      </c>
      <c r="B342" s="3">
        <v>0.49295774649999996</v>
      </c>
      <c r="C342" s="3">
        <v>5</v>
      </c>
      <c r="D342" s="3">
        <v>30</v>
      </c>
      <c r="E342" s="3">
        <v>6.5000000000000002E-2</v>
      </c>
      <c r="F342" s="3">
        <f t="shared" si="70"/>
        <v>3.068385758787318</v>
      </c>
      <c r="G342" s="5">
        <v>0.3</v>
      </c>
      <c r="H342" s="4">
        <v>30000000</v>
      </c>
      <c r="I342" s="4">
        <f t="shared" si="68"/>
        <v>14788732.395</v>
      </c>
      <c r="J342" s="3">
        <v>210000000000</v>
      </c>
      <c r="K342" s="4">
        <f t="shared" si="69"/>
        <v>8.3700019182102431E-2</v>
      </c>
      <c r="L342" s="6">
        <f t="shared" si="71"/>
        <v>2.5110005754630729</v>
      </c>
      <c r="M342" s="4">
        <f t="shared" si="72"/>
        <v>11757959.876358112</v>
      </c>
      <c r="N342" s="4">
        <f t="shared" si="73"/>
        <v>702386928.41735435</v>
      </c>
      <c r="O342" s="4">
        <f t="shared" si="74"/>
        <v>50129723587.242378</v>
      </c>
      <c r="P342" s="4">
        <f t="shared" si="75"/>
        <v>-4195858825.8456793</v>
      </c>
      <c r="Q342" s="4">
        <f t="shared" si="78"/>
        <v>65199968.47951448</v>
      </c>
      <c r="R342" s="4">
        <f t="shared" si="78"/>
        <v>4653355957.4344406</v>
      </c>
      <c r="S342" s="4">
        <f t="shared" si="78"/>
        <v>-389485982.89841366</v>
      </c>
      <c r="T342" s="3"/>
      <c r="U342" s="4">
        <f t="shared" si="76"/>
        <v>38450704.226999998</v>
      </c>
      <c r="V342">
        <f t="shared" si="77"/>
        <v>644361009345.33679</v>
      </c>
    </row>
    <row r="343" spans="1:22" x14ac:dyDescent="0.5">
      <c r="A343" s="3">
        <v>35</v>
      </c>
      <c r="B343" s="3">
        <v>0.45022407175000001</v>
      </c>
      <c r="C343" s="3">
        <v>5</v>
      </c>
      <c r="D343" s="3">
        <v>30</v>
      </c>
      <c r="E343" s="3">
        <v>6.5000000000000002E-2</v>
      </c>
      <c r="F343" s="3">
        <f t="shared" si="70"/>
        <v>3.068385758787318</v>
      </c>
      <c r="G343" s="5">
        <v>0.3</v>
      </c>
      <c r="H343" s="4">
        <v>30000000</v>
      </c>
      <c r="I343" s="4">
        <f t="shared" si="68"/>
        <v>13506722.1525</v>
      </c>
      <c r="J343" s="3">
        <v>210000000000</v>
      </c>
      <c r="K343" s="4">
        <f t="shared" si="69"/>
        <v>8.3700019182102431E-2</v>
      </c>
      <c r="L343" s="6">
        <f t="shared" si="71"/>
        <v>2.5110005754630729</v>
      </c>
      <c r="M343" s="4">
        <f t="shared" si="72"/>
        <v>10657841.096915295</v>
      </c>
      <c r="N343" s="4">
        <f t="shared" si="73"/>
        <v>636668975.76973677</v>
      </c>
      <c r="O343" s="4">
        <f t="shared" si="74"/>
        <v>45439398827.970917</v>
      </c>
      <c r="P343" s="4">
        <f t="shared" si="75"/>
        <v>-3803278553.5243678</v>
      </c>
      <c r="Q343" s="4">
        <f t="shared" si="78"/>
        <v>65717952.647617579</v>
      </c>
      <c r="R343" s="4">
        <f t="shared" si="78"/>
        <v>4690324759.2714615</v>
      </c>
      <c r="S343" s="4">
        <f t="shared" si="78"/>
        <v>-392580272.32131147</v>
      </c>
      <c r="T343" s="3"/>
      <c r="U343" s="4">
        <f t="shared" si="76"/>
        <v>35117477.596500002</v>
      </c>
      <c r="V343">
        <f t="shared" si="77"/>
        <v>644361009345.33679</v>
      </c>
    </row>
    <row r="344" spans="1:22" x14ac:dyDescent="0.5">
      <c r="A344" s="3">
        <v>35</v>
      </c>
      <c r="B344" s="3">
        <v>0.41069142150000004</v>
      </c>
      <c r="C344" s="3">
        <v>5</v>
      </c>
      <c r="D344" s="3">
        <v>30</v>
      </c>
      <c r="E344" s="3">
        <v>6.5000000000000002E-2</v>
      </c>
      <c r="F344" s="3">
        <f t="shared" si="70"/>
        <v>3.068385758787318</v>
      </c>
      <c r="G344" s="5">
        <v>0.3</v>
      </c>
      <c r="H344" s="4">
        <v>30000000</v>
      </c>
      <c r="I344" s="4">
        <f t="shared" si="68"/>
        <v>12320742.645000001</v>
      </c>
      <c r="J344" s="3">
        <v>210000000000</v>
      </c>
      <c r="K344" s="4">
        <f t="shared" si="69"/>
        <v>8.3700019182102431E-2</v>
      </c>
      <c r="L344" s="6">
        <f t="shared" si="71"/>
        <v>2.5110005754630729</v>
      </c>
      <c r="M344" s="4">
        <f t="shared" si="72"/>
        <v>9647839.5207838751</v>
      </c>
      <c r="N344" s="4">
        <f t="shared" si="73"/>
        <v>576334367.36695945</v>
      </c>
      <c r="O344" s="4">
        <f t="shared" si="74"/>
        <v>41133286171.816002</v>
      </c>
      <c r="P344" s="4">
        <f t="shared" si="75"/>
        <v>-3442856841.6039081</v>
      </c>
      <c r="Q344" s="4">
        <f t="shared" si="78"/>
        <v>60334608.402777314</v>
      </c>
      <c r="R344" s="4">
        <f t="shared" si="78"/>
        <v>4306112656.1549149</v>
      </c>
      <c r="S344" s="4">
        <f t="shared" si="78"/>
        <v>-360421711.92045975</v>
      </c>
      <c r="T344" s="3"/>
      <c r="U344" s="4">
        <f t="shared" si="76"/>
        <v>32033930.877000004</v>
      </c>
      <c r="V344">
        <f t="shared" si="77"/>
        <v>644361009345.33679</v>
      </c>
    </row>
    <row r="345" spans="1:22" x14ac:dyDescent="0.5">
      <c r="A345" s="3">
        <v>35</v>
      </c>
      <c r="B345" s="3">
        <v>0.37035851450000001</v>
      </c>
      <c r="C345" s="3">
        <v>5</v>
      </c>
      <c r="D345" s="3">
        <v>30</v>
      </c>
      <c r="E345" s="3">
        <v>6.5000000000000002E-2</v>
      </c>
      <c r="F345" s="3">
        <f t="shared" si="70"/>
        <v>3.068385758787318</v>
      </c>
      <c r="G345" s="5">
        <v>0.3</v>
      </c>
      <c r="H345" s="4">
        <v>30000000</v>
      </c>
      <c r="I345" s="4">
        <f t="shared" si="68"/>
        <v>11110755.435000001</v>
      </c>
      <c r="J345" s="3">
        <v>210000000000</v>
      </c>
      <c r="K345" s="4">
        <f t="shared" si="69"/>
        <v>8.3700019182102431E-2</v>
      </c>
      <c r="L345" s="6">
        <f t="shared" si="71"/>
        <v>2.5110005754630729</v>
      </c>
      <c r="M345" s="4">
        <f t="shared" si="72"/>
        <v>8625726.1261884142</v>
      </c>
      <c r="N345" s="4">
        <f t="shared" si="73"/>
        <v>515276233.53477395</v>
      </c>
      <c r="O345" s="4">
        <f t="shared" si="74"/>
        <v>36775535126.167862</v>
      </c>
      <c r="P345" s="4">
        <f t="shared" si="75"/>
        <v>-3078112995.492332</v>
      </c>
      <c r="Q345" s="4">
        <f t="shared" si="78"/>
        <v>61058133.832185507</v>
      </c>
      <c r="R345" s="4">
        <f t="shared" si="78"/>
        <v>4357751045.64814</v>
      </c>
      <c r="S345" s="4">
        <f t="shared" si="78"/>
        <v>-364743846.11157608</v>
      </c>
      <c r="T345" s="3"/>
      <c r="U345" s="4">
        <f t="shared" si="76"/>
        <v>28887964.131000001</v>
      </c>
      <c r="V345">
        <f t="shared" si="77"/>
        <v>644361009345.33679</v>
      </c>
    </row>
    <row r="346" spans="1:22" x14ac:dyDescent="0.5">
      <c r="A346" s="3">
        <v>35</v>
      </c>
      <c r="B346" s="3">
        <v>0.33226632524999999</v>
      </c>
      <c r="C346" s="3">
        <v>5</v>
      </c>
      <c r="D346" s="3">
        <v>30</v>
      </c>
      <c r="E346" s="3">
        <v>6.5000000000000002E-2</v>
      </c>
      <c r="F346" s="3">
        <f t="shared" si="70"/>
        <v>3.068385758787318</v>
      </c>
      <c r="G346" s="5">
        <v>0.3</v>
      </c>
      <c r="H346" s="4">
        <v>30000000</v>
      </c>
      <c r="I346" s="4">
        <f t="shared" si="68"/>
        <v>9967989.7575000003</v>
      </c>
      <c r="J346" s="3">
        <v>210000000000</v>
      </c>
      <c r="K346" s="4">
        <f t="shared" si="69"/>
        <v>8.3700019182102431E-2</v>
      </c>
      <c r="L346" s="6">
        <f t="shared" si="71"/>
        <v>2.5110005754630729</v>
      </c>
      <c r="M346" s="4">
        <f t="shared" si="72"/>
        <v>7668875.0049051642</v>
      </c>
      <c r="N346" s="4">
        <f t="shared" si="73"/>
        <v>458116681.44426179</v>
      </c>
      <c r="O346" s="4">
        <f t="shared" si="74"/>
        <v>32696027904.807171</v>
      </c>
      <c r="P346" s="4">
        <f t="shared" si="75"/>
        <v>-2736658162.8109164</v>
      </c>
      <c r="Q346" s="4">
        <f t="shared" si="78"/>
        <v>57159552.090512156</v>
      </c>
      <c r="R346" s="4">
        <f t="shared" si="78"/>
        <v>4079507221.3606911</v>
      </c>
      <c r="S346" s="4">
        <f t="shared" si="78"/>
        <v>-341454832.68141556</v>
      </c>
      <c r="T346" s="3"/>
      <c r="U346" s="4">
        <f t="shared" si="76"/>
        <v>25916773.3695</v>
      </c>
      <c r="V346">
        <f t="shared" si="77"/>
        <v>644361009345.33679</v>
      </c>
    </row>
    <row r="347" spans="1:22" x14ac:dyDescent="0.5">
      <c r="A347" s="3">
        <v>35</v>
      </c>
      <c r="B347" s="3">
        <v>0.29705505774999996</v>
      </c>
      <c r="C347" s="3">
        <v>5</v>
      </c>
      <c r="D347" s="3">
        <v>30</v>
      </c>
      <c r="E347" s="3">
        <v>6.5000000000000002E-2</v>
      </c>
      <c r="F347" s="3">
        <f t="shared" si="70"/>
        <v>3.068385758787318</v>
      </c>
      <c r="G347" s="5">
        <v>0.3</v>
      </c>
      <c r="H347" s="4">
        <v>30000000</v>
      </c>
      <c r="I347" s="4">
        <f t="shared" si="68"/>
        <v>8911651.7324999981</v>
      </c>
      <c r="J347" s="3">
        <v>210000000000</v>
      </c>
      <c r="K347" s="4">
        <f t="shared" si="69"/>
        <v>8.3700019182102431E-2</v>
      </c>
      <c r="L347" s="6">
        <f t="shared" si="71"/>
        <v>2.5110005754630729</v>
      </c>
      <c r="M347" s="4">
        <f t="shared" si="72"/>
        <v>6792476.8565970957</v>
      </c>
      <c r="N347" s="4">
        <f t="shared" si="73"/>
        <v>405763160.0907405</v>
      </c>
      <c r="O347" s="4">
        <f t="shared" si="74"/>
        <v>28959529618.621281</v>
      </c>
      <c r="P347" s="4">
        <f t="shared" si="75"/>
        <v>-2423913184.5832644</v>
      </c>
      <c r="Q347" s="4">
        <f t="shared" si="78"/>
        <v>52353521.353521287</v>
      </c>
      <c r="R347" s="4">
        <f t="shared" si="78"/>
        <v>3736498286.1858902</v>
      </c>
      <c r="S347" s="4">
        <f t="shared" si="78"/>
        <v>-312744978.22765207</v>
      </c>
      <c r="T347" s="3"/>
      <c r="U347" s="4">
        <f t="shared" si="76"/>
        <v>23170294.504499994</v>
      </c>
      <c r="V347">
        <f t="shared" si="77"/>
        <v>644361009345.33679</v>
      </c>
    </row>
    <row r="348" spans="1:22" x14ac:dyDescent="0.5">
      <c r="A348" s="3">
        <v>35</v>
      </c>
      <c r="B348" s="3">
        <v>0.25928297049999999</v>
      </c>
      <c r="C348" s="3">
        <v>5</v>
      </c>
      <c r="D348" s="3">
        <v>30</v>
      </c>
      <c r="E348" s="3">
        <v>6.5000000000000002E-2</v>
      </c>
      <c r="F348" s="3">
        <f t="shared" si="70"/>
        <v>3.068385758787318</v>
      </c>
      <c r="G348" s="5">
        <v>0.3</v>
      </c>
      <c r="H348" s="4">
        <v>30000000</v>
      </c>
      <c r="I348" s="4">
        <f t="shared" si="68"/>
        <v>7778489.1149999993</v>
      </c>
      <c r="J348" s="3">
        <v>210000000000</v>
      </c>
      <c r="K348" s="4">
        <f t="shared" si="69"/>
        <v>8.3700019182102431E-2</v>
      </c>
      <c r="L348" s="6">
        <f t="shared" si="71"/>
        <v>2.5110005754630729</v>
      </c>
      <c r="M348" s="4">
        <f t="shared" si="72"/>
        <v>5861966.0195705751</v>
      </c>
      <c r="N348" s="4">
        <f t="shared" si="73"/>
        <v>350177101.3228178</v>
      </c>
      <c r="O348" s="4">
        <f t="shared" si="74"/>
        <v>24992323441.224361</v>
      </c>
      <c r="P348" s="4">
        <f t="shared" si="75"/>
        <v>-2091857951.4357872</v>
      </c>
      <c r="Q348" s="4">
        <f t="shared" si="78"/>
        <v>55586058.767922699</v>
      </c>
      <c r="R348" s="4">
        <f t="shared" si="78"/>
        <v>3967206177.3969193</v>
      </c>
      <c r="S348" s="4">
        <f t="shared" si="78"/>
        <v>-332055233.14747715</v>
      </c>
      <c r="T348" s="3"/>
      <c r="U348" s="4">
        <f t="shared" si="76"/>
        <v>20224071.698999997</v>
      </c>
      <c r="V348">
        <f t="shared" si="77"/>
        <v>644361009345.33679</v>
      </c>
    </row>
    <row r="349" spans="1:22" x14ac:dyDescent="0.5">
      <c r="A349" s="3">
        <v>35</v>
      </c>
      <c r="B349" s="3">
        <v>0.22199103675000001</v>
      </c>
      <c r="C349" s="3">
        <v>5</v>
      </c>
      <c r="D349" s="3">
        <v>30</v>
      </c>
      <c r="E349" s="3">
        <v>6.5000000000000002E-2</v>
      </c>
      <c r="F349" s="3">
        <f t="shared" si="70"/>
        <v>3.068385758787318</v>
      </c>
      <c r="G349" s="5">
        <v>0.3</v>
      </c>
      <c r="H349" s="4">
        <v>30000000</v>
      </c>
      <c r="I349" s="4">
        <f t="shared" si="68"/>
        <v>6659731.1025</v>
      </c>
      <c r="J349" s="3">
        <v>210000000000</v>
      </c>
      <c r="K349" s="4">
        <f t="shared" si="69"/>
        <v>8.3700019182102431E-2</v>
      </c>
      <c r="L349" s="6">
        <f t="shared" si="71"/>
        <v>2.5110005754630729</v>
      </c>
      <c r="M349" s="4">
        <f t="shared" si="72"/>
        <v>4954329.2253027512</v>
      </c>
      <c r="N349" s="4">
        <f t="shared" si="73"/>
        <v>295957472.51406455</v>
      </c>
      <c r="O349" s="4">
        <f t="shared" si="74"/>
        <v>21122640086.908501</v>
      </c>
      <c r="P349" s="4">
        <f t="shared" si="75"/>
        <v>-1767965380.4508872</v>
      </c>
      <c r="Q349" s="4">
        <f t="shared" si="78"/>
        <v>54219628.808753252</v>
      </c>
      <c r="R349" s="4">
        <f t="shared" si="78"/>
        <v>3869683354.3158607</v>
      </c>
      <c r="S349" s="4">
        <f t="shared" si="78"/>
        <v>-323892570.9849</v>
      </c>
      <c r="T349" s="3"/>
      <c r="U349" s="4">
        <f t="shared" si="76"/>
        <v>17315300.866500001</v>
      </c>
      <c r="V349">
        <f t="shared" si="77"/>
        <v>644361009345.33679</v>
      </c>
    </row>
    <row r="350" spans="1:22" x14ac:dyDescent="0.5">
      <c r="A350" s="3">
        <v>35</v>
      </c>
      <c r="B350" s="3">
        <v>0.188540333</v>
      </c>
      <c r="C350" s="3">
        <v>5</v>
      </c>
      <c r="D350" s="3">
        <v>30</v>
      </c>
      <c r="E350" s="3">
        <v>6.5000000000000002E-2</v>
      </c>
      <c r="F350" s="3">
        <f t="shared" si="70"/>
        <v>3.068385758787318</v>
      </c>
      <c r="G350" s="5">
        <v>0.3</v>
      </c>
      <c r="H350" s="4">
        <v>30000000</v>
      </c>
      <c r="I350" s="4">
        <f t="shared" si="68"/>
        <v>5656209.9900000002</v>
      </c>
      <c r="J350" s="3">
        <v>210000000000</v>
      </c>
      <c r="K350" s="4">
        <f t="shared" si="69"/>
        <v>8.3700019182102431E-2</v>
      </c>
      <c r="L350" s="6">
        <f t="shared" si="71"/>
        <v>2.5110005754630729</v>
      </c>
      <c r="M350" s="4">
        <f t="shared" si="72"/>
        <v>4150904.699129968</v>
      </c>
      <c r="N350" s="4">
        <f t="shared" si="73"/>
        <v>247963186.848203</v>
      </c>
      <c r="O350" s="4">
        <f t="shared" si="74"/>
        <v>17697262738.816406</v>
      </c>
      <c r="P350" s="4">
        <f t="shared" si="75"/>
        <v>-1481261230.7096398</v>
      </c>
      <c r="Q350" s="4">
        <f t="shared" si="78"/>
        <v>47994285.665861547</v>
      </c>
      <c r="R350" s="4">
        <f t="shared" si="78"/>
        <v>3425377348.0920944</v>
      </c>
      <c r="S350" s="4">
        <f t="shared" si="78"/>
        <v>-286704149.74124742</v>
      </c>
      <c r="T350" s="3"/>
      <c r="U350" s="4">
        <f t="shared" si="76"/>
        <v>14706145.974000001</v>
      </c>
      <c r="V350">
        <f t="shared" si="77"/>
        <v>644361009345.33679</v>
      </c>
    </row>
    <row r="351" spans="1:22" x14ac:dyDescent="0.5">
      <c r="A351" s="3">
        <v>35</v>
      </c>
      <c r="B351" s="3">
        <v>0.15284891125</v>
      </c>
      <c r="C351" s="3">
        <v>5</v>
      </c>
      <c r="D351" s="3">
        <v>30</v>
      </c>
      <c r="E351" s="3">
        <v>6.5000000000000002E-2</v>
      </c>
      <c r="F351" s="3">
        <f t="shared" si="70"/>
        <v>3.068385758787318</v>
      </c>
      <c r="G351" s="5">
        <v>0.3</v>
      </c>
      <c r="H351" s="4">
        <v>30000000</v>
      </c>
      <c r="I351" s="4">
        <f t="shared" si="68"/>
        <v>4585467.3375000004</v>
      </c>
      <c r="J351" s="3">
        <v>210000000000</v>
      </c>
      <c r="K351" s="4">
        <f t="shared" si="69"/>
        <v>8.3700019182102431E-2</v>
      </c>
      <c r="L351" s="6">
        <f t="shared" si="71"/>
        <v>2.5110005754630729</v>
      </c>
      <c r="M351" s="4">
        <f t="shared" si="72"/>
        <v>3306782.8932580217</v>
      </c>
      <c r="N351" s="4">
        <f t="shared" si="73"/>
        <v>197537761.97252718</v>
      </c>
      <c r="O351" s="4">
        <f t="shared" si="74"/>
        <v>14098373709.826857</v>
      </c>
      <c r="P351" s="4">
        <f t="shared" si="75"/>
        <v>-1180034149.9489563</v>
      </c>
      <c r="Q351" s="4">
        <f t="shared" si="78"/>
        <v>50425424.875675827</v>
      </c>
      <c r="R351" s="4">
        <f t="shared" si="78"/>
        <v>3598889028.9895496</v>
      </c>
      <c r="S351" s="4">
        <f t="shared" si="78"/>
        <v>-301227080.76068354</v>
      </c>
      <c r="T351" s="3"/>
      <c r="U351" s="4">
        <f t="shared" si="76"/>
        <v>11922215.077500001</v>
      </c>
      <c r="V351">
        <f t="shared" si="77"/>
        <v>644361009345.33679</v>
      </c>
    </row>
    <row r="352" spans="1:22" x14ac:dyDescent="0.5">
      <c r="A352" s="3">
        <v>35</v>
      </c>
      <c r="B352" s="3">
        <v>0.13108194625</v>
      </c>
      <c r="C352" s="3">
        <v>5</v>
      </c>
      <c r="D352" s="3">
        <v>30</v>
      </c>
      <c r="E352" s="3">
        <v>6.5000000000000002E-2</v>
      </c>
      <c r="F352" s="3">
        <f t="shared" si="70"/>
        <v>3.068385758787318</v>
      </c>
      <c r="G352" s="5">
        <v>0.3</v>
      </c>
      <c r="H352" s="4">
        <v>30000000</v>
      </c>
      <c r="I352" s="4">
        <f t="shared" si="68"/>
        <v>3932458.3874999997</v>
      </c>
      <c r="J352" s="3">
        <v>210000000000</v>
      </c>
      <c r="K352" s="4">
        <f t="shared" si="69"/>
        <v>8.3700019182102431E-2</v>
      </c>
      <c r="L352" s="6">
        <f t="shared" si="71"/>
        <v>2.5110005754630729</v>
      </c>
      <c r="M352" s="4">
        <f t="shared" si="72"/>
        <v>2799795.1568597597</v>
      </c>
      <c r="N352" s="4">
        <f t="shared" si="73"/>
        <v>167251763.15481895</v>
      </c>
      <c r="O352" s="4">
        <f t="shared" si="74"/>
        <v>11936846084.709749</v>
      </c>
      <c r="P352" s="4">
        <f t="shared" si="75"/>
        <v>-999114246.26401019</v>
      </c>
      <c r="Q352" s="4">
        <f t="shared" si="78"/>
        <v>30285998.817708224</v>
      </c>
      <c r="R352" s="4">
        <f t="shared" si="78"/>
        <v>2161527625.1171074</v>
      </c>
      <c r="S352" s="4">
        <f t="shared" si="78"/>
        <v>-180919903.68494606</v>
      </c>
      <c r="T352" s="3"/>
      <c r="U352" s="4">
        <f t="shared" si="76"/>
        <v>10224391.807499999</v>
      </c>
      <c r="V352">
        <f t="shared" si="77"/>
        <v>644361009345.33679</v>
      </c>
    </row>
    <row r="353" spans="1:22" x14ac:dyDescent="0.5">
      <c r="A353" s="3">
        <v>35</v>
      </c>
      <c r="B353" s="3">
        <v>0.11075544125</v>
      </c>
      <c r="C353" s="3">
        <v>5</v>
      </c>
      <c r="D353" s="3">
        <v>30</v>
      </c>
      <c r="E353" s="3">
        <v>6.5000000000000002E-2</v>
      </c>
      <c r="F353" s="3">
        <f t="shared" si="70"/>
        <v>3.068385758787318</v>
      </c>
      <c r="G353" s="5">
        <v>0.3</v>
      </c>
      <c r="H353" s="4">
        <v>30000000</v>
      </c>
      <c r="I353" s="4">
        <f t="shared" si="68"/>
        <v>3322663.2375000003</v>
      </c>
      <c r="J353" s="3">
        <v>210000000000</v>
      </c>
      <c r="K353" s="4">
        <f t="shared" si="69"/>
        <v>8.3700019182102431E-2</v>
      </c>
      <c r="L353" s="6">
        <f t="shared" si="71"/>
        <v>2.5110005754630729</v>
      </c>
      <c r="M353" s="4">
        <f t="shared" si="72"/>
        <v>2332653.8533884338</v>
      </c>
      <c r="N353" s="4">
        <f t="shared" si="73"/>
        <v>139346076.3917737</v>
      </c>
      <c r="O353" s="4">
        <f t="shared" si="74"/>
        <v>9945202579.7605724</v>
      </c>
      <c r="P353" s="4">
        <f t="shared" si="75"/>
        <v>-832413646.69585443</v>
      </c>
      <c r="Q353" s="4">
        <f t="shared" si="78"/>
        <v>27905686.763045251</v>
      </c>
      <c r="R353" s="4">
        <f t="shared" si="78"/>
        <v>1991643504.9491768</v>
      </c>
      <c r="S353" s="4">
        <f t="shared" si="78"/>
        <v>-166700599.56815577</v>
      </c>
      <c r="T353" s="3"/>
      <c r="U353" s="4">
        <f t="shared" si="76"/>
        <v>8638924.4175000004</v>
      </c>
      <c r="V353">
        <f t="shared" si="77"/>
        <v>644361009345.33679</v>
      </c>
    </row>
    <row r="354" spans="1:22" x14ac:dyDescent="0.5">
      <c r="A354" s="3">
        <v>40</v>
      </c>
      <c r="B354" s="3">
        <v>1</v>
      </c>
      <c r="C354" s="3">
        <v>5</v>
      </c>
      <c r="D354" s="3">
        <v>35</v>
      </c>
      <c r="E354" s="3">
        <v>7.0000000000000007E-2</v>
      </c>
      <c r="F354" s="3">
        <f t="shared" si="70"/>
        <v>3.2944744252340157</v>
      </c>
      <c r="G354" s="5">
        <v>0.35</v>
      </c>
      <c r="H354" s="4">
        <v>35000000</v>
      </c>
      <c r="I354" s="4">
        <f>B354*$H$354</f>
        <v>35000000</v>
      </c>
      <c r="J354" s="3">
        <v>210000000000</v>
      </c>
      <c r="K354" s="4">
        <f>(($M$354*C354)/(4*J354*F354))^(1/4)</f>
        <v>8.8170111356309533E-2</v>
      </c>
      <c r="L354" s="6">
        <f t="shared" si="71"/>
        <v>3.0859538974708336</v>
      </c>
      <c r="M354" s="4">
        <f t="shared" si="72"/>
        <v>33448833.707163259</v>
      </c>
      <c r="N354" s="4">
        <f t="shared" si="73"/>
        <v>1896835174.223109</v>
      </c>
      <c r="O354" s="4">
        <f t="shared" si="74"/>
        <v>121999154312.02667</v>
      </c>
      <c r="P354" s="4">
        <f t="shared" si="75"/>
        <v>-10756679021.066984</v>
      </c>
      <c r="Q354" s="4">
        <f>N354</f>
        <v>1896835174.223109</v>
      </c>
      <c r="R354" s="4">
        <f t="shared" ref="R354:S354" si="79">O354</f>
        <v>121999154312.02667</v>
      </c>
      <c r="S354" s="4">
        <f t="shared" si="79"/>
        <v>-10756679021.066984</v>
      </c>
      <c r="T354" s="3"/>
      <c r="U354" s="4">
        <f t="shared" si="76"/>
        <v>94500000</v>
      </c>
      <c r="V354">
        <f t="shared" si="77"/>
        <v>691839629299.14331</v>
      </c>
    </row>
    <row r="355" spans="1:22" x14ac:dyDescent="0.5">
      <c r="A355" s="3">
        <v>40</v>
      </c>
      <c r="B355" s="3">
        <v>1</v>
      </c>
      <c r="C355" s="3">
        <v>5</v>
      </c>
      <c r="D355" s="3">
        <v>35</v>
      </c>
      <c r="E355" s="3">
        <v>7.0000000000000007E-2</v>
      </c>
      <c r="F355" s="3">
        <f t="shared" si="70"/>
        <v>3.2944744252340157</v>
      </c>
      <c r="G355" s="5">
        <v>0.35</v>
      </c>
      <c r="H355" s="4">
        <v>35000000</v>
      </c>
      <c r="I355" s="4">
        <f t="shared" ref="I355:I397" si="80">B355*$H$354</f>
        <v>35000000</v>
      </c>
      <c r="J355" s="3">
        <v>210000000000</v>
      </c>
      <c r="K355" s="4">
        <f t="shared" ref="K355:K397" si="81">(($M$354*C355)/(4*J355*F355))^(1/4)</f>
        <v>8.8170111356309533E-2</v>
      </c>
      <c r="L355" s="6">
        <f t="shared" si="71"/>
        <v>3.0859538974708336</v>
      </c>
      <c r="M355" s="4">
        <f t="shared" si="72"/>
        <v>33448833.707163259</v>
      </c>
      <c r="N355" s="4">
        <f t="shared" si="73"/>
        <v>1896835174.223109</v>
      </c>
      <c r="O355" s="4">
        <f t="shared" si="74"/>
        <v>121999154312.02667</v>
      </c>
      <c r="P355" s="4">
        <f t="shared" si="75"/>
        <v>-10756679021.066984</v>
      </c>
      <c r="Q355" s="4">
        <f t="shared" si="78"/>
        <v>0</v>
      </c>
      <c r="R355" s="4">
        <f t="shared" si="78"/>
        <v>0</v>
      </c>
      <c r="S355" s="4">
        <f t="shared" si="78"/>
        <v>0</v>
      </c>
      <c r="T355" s="3"/>
      <c r="U355" s="4">
        <f t="shared" si="76"/>
        <v>94500000</v>
      </c>
      <c r="V355">
        <f t="shared" si="77"/>
        <v>691839629299.14331</v>
      </c>
    </row>
    <row r="356" spans="1:22" x14ac:dyDescent="0.5">
      <c r="A356" s="3">
        <v>40</v>
      </c>
      <c r="B356" s="3">
        <v>1</v>
      </c>
      <c r="C356" s="3">
        <v>5</v>
      </c>
      <c r="D356" s="3">
        <v>35</v>
      </c>
      <c r="E356" s="3">
        <v>7.0000000000000007E-2</v>
      </c>
      <c r="F356" s="3">
        <f t="shared" si="70"/>
        <v>3.2944744252340157</v>
      </c>
      <c r="G356" s="5">
        <v>0.35</v>
      </c>
      <c r="H356" s="4">
        <v>35000000</v>
      </c>
      <c r="I356" s="4">
        <f t="shared" si="80"/>
        <v>35000000</v>
      </c>
      <c r="J356" s="3">
        <v>210000000000</v>
      </c>
      <c r="K356" s="4">
        <f t="shared" si="81"/>
        <v>8.8170111356309533E-2</v>
      </c>
      <c r="L356" s="6">
        <f t="shared" si="71"/>
        <v>3.0859538974708336</v>
      </c>
      <c r="M356" s="4">
        <f t="shared" si="72"/>
        <v>33448833.707163259</v>
      </c>
      <c r="N356" s="4">
        <f t="shared" si="73"/>
        <v>1896835174.223109</v>
      </c>
      <c r="O356" s="4">
        <f t="shared" si="74"/>
        <v>121999154312.02667</v>
      </c>
      <c r="P356" s="4">
        <f t="shared" si="75"/>
        <v>-10756679021.066984</v>
      </c>
      <c r="Q356" s="4">
        <f t="shared" si="78"/>
        <v>0</v>
      </c>
      <c r="R356" s="4">
        <f t="shared" si="78"/>
        <v>0</v>
      </c>
      <c r="S356" s="4">
        <f t="shared" si="78"/>
        <v>0</v>
      </c>
      <c r="T356" s="3"/>
      <c r="U356" s="4">
        <f t="shared" si="76"/>
        <v>94500000</v>
      </c>
      <c r="V356">
        <f t="shared" si="77"/>
        <v>691839629299.14331</v>
      </c>
    </row>
    <row r="357" spans="1:22" x14ac:dyDescent="0.5">
      <c r="A357" s="3">
        <v>40</v>
      </c>
      <c r="B357" s="3">
        <v>1</v>
      </c>
      <c r="C357" s="3">
        <v>5</v>
      </c>
      <c r="D357" s="3">
        <v>35</v>
      </c>
      <c r="E357" s="3">
        <v>7.0000000000000007E-2</v>
      </c>
      <c r="F357" s="3">
        <f t="shared" si="70"/>
        <v>3.2944744252340157</v>
      </c>
      <c r="G357" s="5">
        <v>0.35</v>
      </c>
      <c r="H357" s="4">
        <v>35000000</v>
      </c>
      <c r="I357" s="4">
        <f t="shared" si="80"/>
        <v>35000000</v>
      </c>
      <c r="J357" s="3">
        <v>210000000000</v>
      </c>
      <c r="K357" s="4">
        <f t="shared" si="81"/>
        <v>8.8170111356309533E-2</v>
      </c>
      <c r="L357" s="6">
        <f t="shared" si="71"/>
        <v>3.0859538974708336</v>
      </c>
      <c r="M357" s="4">
        <f t="shared" si="72"/>
        <v>33448833.707163259</v>
      </c>
      <c r="N357" s="4">
        <f t="shared" si="73"/>
        <v>1896835174.223109</v>
      </c>
      <c r="O357" s="4">
        <f t="shared" si="74"/>
        <v>121999154312.02667</v>
      </c>
      <c r="P357" s="4">
        <f t="shared" si="75"/>
        <v>-10756679021.066984</v>
      </c>
      <c r="Q357" s="4">
        <f t="shared" si="78"/>
        <v>0</v>
      </c>
      <c r="R357" s="4">
        <f t="shared" si="78"/>
        <v>0</v>
      </c>
      <c r="S357" s="4">
        <f t="shared" si="78"/>
        <v>0</v>
      </c>
      <c r="T357" s="3"/>
      <c r="U357" s="4">
        <f t="shared" si="76"/>
        <v>94500000</v>
      </c>
      <c r="V357">
        <f t="shared" si="77"/>
        <v>691839629299.14331</v>
      </c>
    </row>
    <row r="358" spans="1:22" x14ac:dyDescent="0.5">
      <c r="A358" s="3">
        <v>40</v>
      </c>
      <c r="B358" s="3">
        <v>1</v>
      </c>
      <c r="C358" s="3">
        <v>5</v>
      </c>
      <c r="D358" s="3">
        <v>35</v>
      </c>
      <c r="E358" s="3">
        <v>7.0000000000000007E-2</v>
      </c>
      <c r="F358" s="3">
        <f t="shared" si="70"/>
        <v>3.2944744252340157</v>
      </c>
      <c r="G358" s="5">
        <v>0.35</v>
      </c>
      <c r="H358" s="4">
        <v>35000000</v>
      </c>
      <c r="I358" s="4">
        <f t="shared" si="80"/>
        <v>35000000</v>
      </c>
      <c r="J358" s="3">
        <v>210000000000</v>
      </c>
      <c r="K358" s="4">
        <f t="shared" si="81"/>
        <v>8.8170111356309533E-2</v>
      </c>
      <c r="L358" s="6">
        <f t="shared" si="71"/>
        <v>3.0859538974708336</v>
      </c>
      <c r="M358" s="4">
        <f t="shared" si="72"/>
        <v>33448833.707163259</v>
      </c>
      <c r="N358" s="4">
        <f t="shared" si="73"/>
        <v>1896835174.223109</v>
      </c>
      <c r="O358" s="4">
        <f t="shared" si="74"/>
        <v>121999154312.02667</v>
      </c>
      <c r="P358" s="4">
        <f t="shared" si="75"/>
        <v>-10756679021.066984</v>
      </c>
      <c r="Q358" s="4">
        <f t="shared" si="78"/>
        <v>0</v>
      </c>
      <c r="R358" s="4">
        <f t="shared" si="78"/>
        <v>0</v>
      </c>
      <c r="S358" s="4">
        <f t="shared" si="78"/>
        <v>0</v>
      </c>
      <c r="T358" s="3"/>
      <c r="U358" s="4">
        <f t="shared" si="76"/>
        <v>94500000</v>
      </c>
      <c r="V358">
        <f t="shared" si="77"/>
        <v>691839629299.14331</v>
      </c>
    </row>
    <row r="359" spans="1:22" x14ac:dyDescent="0.5">
      <c r="A359" s="3">
        <v>40</v>
      </c>
      <c r="B359" s="3">
        <v>1</v>
      </c>
      <c r="C359" s="3">
        <v>5</v>
      </c>
      <c r="D359" s="3">
        <v>35</v>
      </c>
      <c r="E359" s="3">
        <v>7.0000000000000007E-2</v>
      </c>
      <c r="F359" s="3">
        <f t="shared" si="70"/>
        <v>3.2944744252340157</v>
      </c>
      <c r="G359" s="5">
        <v>0.35</v>
      </c>
      <c r="H359" s="4">
        <v>35000000</v>
      </c>
      <c r="I359" s="4">
        <f t="shared" si="80"/>
        <v>35000000</v>
      </c>
      <c r="J359" s="3">
        <v>210000000000</v>
      </c>
      <c r="K359" s="4">
        <f t="shared" si="81"/>
        <v>8.8170111356309533E-2</v>
      </c>
      <c r="L359" s="6">
        <f t="shared" si="71"/>
        <v>3.0859538974708336</v>
      </c>
      <c r="M359" s="4">
        <f t="shared" si="72"/>
        <v>33448833.707163259</v>
      </c>
      <c r="N359" s="4">
        <f t="shared" si="73"/>
        <v>1896835174.223109</v>
      </c>
      <c r="O359" s="4">
        <f t="shared" si="74"/>
        <v>121999154312.02667</v>
      </c>
      <c r="P359" s="4">
        <f t="shared" si="75"/>
        <v>-10756679021.066984</v>
      </c>
      <c r="Q359" s="4">
        <f t="shared" si="78"/>
        <v>0</v>
      </c>
      <c r="R359" s="4">
        <f t="shared" si="78"/>
        <v>0</v>
      </c>
      <c r="S359" s="4">
        <f t="shared" si="78"/>
        <v>0</v>
      </c>
      <c r="T359" s="3"/>
      <c r="U359" s="4">
        <f t="shared" si="76"/>
        <v>94500000</v>
      </c>
      <c r="V359">
        <f t="shared" si="77"/>
        <v>691839629299.14331</v>
      </c>
    </row>
    <row r="360" spans="1:22" x14ac:dyDescent="0.5">
      <c r="A360" s="3">
        <v>40</v>
      </c>
      <c r="B360" s="3">
        <v>1</v>
      </c>
      <c r="C360" s="3">
        <v>5</v>
      </c>
      <c r="D360" s="3">
        <v>35</v>
      </c>
      <c r="E360" s="3">
        <v>7.0000000000000007E-2</v>
      </c>
      <c r="F360" s="3">
        <f t="shared" si="70"/>
        <v>3.2944744252340157</v>
      </c>
      <c r="G360" s="5">
        <v>0.35</v>
      </c>
      <c r="H360" s="4">
        <v>35000000</v>
      </c>
      <c r="I360" s="4">
        <f t="shared" si="80"/>
        <v>35000000</v>
      </c>
      <c r="J360" s="3">
        <v>210000000000</v>
      </c>
      <c r="K360" s="4">
        <f t="shared" si="81"/>
        <v>8.8170111356309533E-2</v>
      </c>
      <c r="L360" s="6">
        <f t="shared" si="71"/>
        <v>3.0859538974708336</v>
      </c>
      <c r="M360" s="4">
        <f t="shared" si="72"/>
        <v>33448833.707163259</v>
      </c>
      <c r="N360" s="4">
        <f t="shared" si="73"/>
        <v>1896835174.223109</v>
      </c>
      <c r="O360" s="4">
        <f t="shared" si="74"/>
        <v>121999154312.02667</v>
      </c>
      <c r="P360" s="4">
        <f t="shared" si="75"/>
        <v>-10756679021.066984</v>
      </c>
      <c r="Q360" s="4">
        <f t="shared" si="78"/>
        <v>0</v>
      </c>
      <c r="R360" s="4">
        <f t="shared" si="78"/>
        <v>0</v>
      </c>
      <c r="S360" s="4">
        <f t="shared" si="78"/>
        <v>0</v>
      </c>
      <c r="T360" s="3"/>
      <c r="U360" s="4">
        <f t="shared" si="76"/>
        <v>94500000</v>
      </c>
      <c r="V360">
        <f t="shared" si="77"/>
        <v>691839629299.14331</v>
      </c>
    </row>
    <row r="361" spans="1:22" x14ac:dyDescent="0.5">
      <c r="A361" s="3">
        <v>40</v>
      </c>
      <c r="B361" s="3">
        <v>1</v>
      </c>
      <c r="C361" s="3">
        <v>5</v>
      </c>
      <c r="D361" s="3">
        <v>35</v>
      </c>
      <c r="E361" s="3">
        <v>7.0000000000000007E-2</v>
      </c>
      <c r="F361" s="3">
        <f t="shared" si="70"/>
        <v>3.2944744252340157</v>
      </c>
      <c r="G361" s="5">
        <v>0.35</v>
      </c>
      <c r="H361" s="4">
        <v>35000000</v>
      </c>
      <c r="I361" s="4">
        <f t="shared" si="80"/>
        <v>35000000</v>
      </c>
      <c r="J361" s="3">
        <v>210000000000</v>
      </c>
      <c r="K361" s="4">
        <f t="shared" si="81"/>
        <v>8.8170111356309533E-2</v>
      </c>
      <c r="L361" s="6">
        <f t="shared" si="71"/>
        <v>3.0859538974708336</v>
      </c>
      <c r="M361" s="4">
        <f t="shared" si="72"/>
        <v>33448833.707163259</v>
      </c>
      <c r="N361" s="4">
        <f t="shared" si="73"/>
        <v>1896835174.223109</v>
      </c>
      <c r="O361" s="4">
        <f t="shared" si="74"/>
        <v>121999154312.02667</v>
      </c>
      <c r="P361" s="4">
        <f t="shared" si="75"/>
        <v>-10756679021.066984</v>
      </c>
      <c r="Q361" s="4">
        <f t="shared" si="78"/>
        <v>0</v>
      </c>
      <c r="R361" s="4">
        <f t="shared" si="78"/>
        <v>0</v>
      </c>
      <c r="S361" s="4">
        <f t="shared" si="78"/>
        <v>0</v>
      </c>
      <c r="T361" s="3"/>
      <c r="U361" s="4">
        <f t="shared" si="76"/>
        <v>94500000</v>
      </c>
      <c r="V361">
        <f t="shared" si="77"/>
        <v>691839629299.14331</v>
      </c>
    </row>
    <row r="362" spans="1:22" x14ac:dyDescent="0.5">
      <c r="A362" s="3">
        <v>40</v>
      </c>
      <c r="B362" s="3">
        <v>1</v>
      </c>
      <c r="C362" s="3">
        <v>5</v>
      </c>
      <c r="D362" s="3">
        <v>35</v>
      </c>
      <c r="E362" s="3">
        <v>7.0000000000000007E-2</v>
      </c>
      <c r="F362" s="3">
        <f t="shared" si="70"/>
        <v>3.2944744252340157</v>
      </c>
      <c r="G362" s="5">
        <v>0.35</v>
      </c>
      <c r="H362" s="4">
        <v>35000000</v>
      </c>
      <c r="I362" s="4">
        <f t="shared" si="80"/>
        <v>35000000</v>
      </c>
      <c r="J362" s="3">
        <v>210000000000</v>
      </c>
      <c r="K362" s="4">
        <f t="shared" si="81"/>
        <v>8.8170111356309533E-2</v>
      </c>
      <c r="L362" s="6">
        <f t="shared" si="71"/>
        <v>3.0859538974708336</v>
      </c>
      <c r="M362" s="4">
        <f t="shared" si="72"/>
        <v>33448833.707163259</v>
      </c>
      <c r="N362" s="4">
        <f t="shared" si="73"/>
        <v>1896835174.223109</v>
      </c>
      <c r="O362" s="4">
        <f t="shared" si="74"/>
        <v>121999154312.02667</v>
      </c>
      <c r="P362" s="4">
        <f t="shared" si="75"/>
        <v>-10756679021.066984</v>
      </c>
      <c r="Q362" s="4">
        <f t="shared" si="78"/>
        <v>0</v>
      </c>
      <c r="R362" s="4">
        <f t="shared" si="78"/>
        <v>0</v>
      </c>
      <c r="S362" s="4">
        <f t="shared" si="78"/>
        <v>0</v>
      </c>
      <c r="T362" s="3"/>
      <c r="U362" s="4">
        <f t="shared" si="76"/>
        <v>94500000</v>
      </c>
      <c r="V362">
        <f t="shared" si="77"/>
        <v>691839629299.14331</v>
      </c>
    </row>
    <row r="363" spans="1:22" x14ac:dyDescent="0.5">
      <c r="A363" s="3">
        <v>40</v>
      </c>
      <c r="B363" s="3">
        <v>1</v>
      </c>
      <c r="C363" s="3">
        <v>5</v>
      </c>
      <c r="D363" s="3">
        <v>35</v>
      </c>
      <c r="E363" s="3">
        <v>7.0000000000000007E-2</v>
      </c>
      <c r="F363" s="3">
        <f t="shared" si="70"/>
        <v>3.2944744252340157</v>
      </c>
      <c r="G363" s="5">
        <v>0.35</v>
      </c>
      <c r="H363" s="4">
        <v>35000000</v>
      </c>
      <c r="I363" s="4">
        <f t="shared" si="80"/>
        <v>35000000</v>
      </c>
      <c r="J363" s="3">
        <v>210000000000</v>
      </c>
      <c r="K363" s="4">
        <f t="shared" si="81"/>
        <v>8.8170111356309533E-2</v>
      </c>
      <c r="L363" s="6">
        <f t="shared" si="71"/>
        <v>3.0859538974708336</v>
      </c>
      <c r="M363" s="4">
        <f t="shared" si="72"/>
        <v>33448833.707163259</v>
      </c>
      <c r="N363" s="4">
        <f t="shared" si="73"/>
        <v>1896835174.223109</v>
      </c>
      <c r="O363" s="4">
        <f t="shared" si="74"/>
        <v>121999154312.02667</v>
      </c>
      <c r="P363" s="4">
        <f t="shared" si="75"/>
        <v>-10756679021.066984</v>
      </c>
      <c r="Q363" s="4">
        <f t="shared" si="78"/>
        <v>0</v>
      </c>
      <c r="R363" s="4">
        <f t="shared" si="78"/>
        <v>0</v>
      </c>
      <c r="S363" s="4">
        <f t="shared" si="78"/>
        <v>0</v>
      </c>
      <c r="T363" s="3"/>
      <c r="U363" s="4">
        <f t="shared" si="76"/>
        <v>94500000</v>
      </c>
      <c r="V363">
        <f t="shared" si="77"/>
        <v>691839629299.14331</v>
      </c>
    </row>
    <row r="364" spans="1:22" x14ac:dyDescent="0.5">
      <c r="A364" s="3">
        <v>40</v>
      </c>
      <c r="B364" s="3">
        <v>1</v>
      </c>
      <c r="C364" s="3">
        <v>5</v>
      </c>
      <c r="D364" s="3">
        <v>35</v>
      </c>
      <c r="E364" s="3">
        <v>7.0000000000000007E-2</v>
      </c>
      <c r="F364" s="3">
        <f t="shared" si="70"/>
        <v>3.2944744252340157</v>
      </c>
      <c r="G364" s="5">
        <v>0.35</v>
      </c>
      <c r="H364" s="4">
        <v>35000000</v>
      </c>
      <c r="I364" s="4">
        <f t="shared" si="80"/>
        <v>35000000</v>
      </c>
      <c r="J364" s="3">
        <v>210000000000</v>
      </c>
      <c r="K364" s="4">
        <f t="shared" si="81"/>
        <v>8.8170111356309533E-2</v>
      </c>
      <c r="L364" s="6">
        <f t="shared" si="71"/>
        <v>3.0859538974708336</v>
      </c>
      <c r="M364" s="4">
        <f t="shared" si="72"/>
        <v>33448833.707163259</v>
      </c>
      <c r="N364" s="4">
        <f t="shared" si="73"/>
        <v>1896835174.223109</v>
      </c>
      <c r="O364" s="4">
        <f t="shared" si="74"/>
        <v>121999154312.02667</v>
      </c>
      <c r="P364" s="4">
        <f t="shared" si="75"/>
        <v>-10756679021.066984</v>
      </c>
      <c r="Q364" s="4">
        <f t="shared" si="78"/>
        <v>0</v>
      </c>
      <c r="R364" s="4">
        <f t="shared" si="78"/>
        <v>0</v>
      </c>
      <c r="S364" s="4">
        <f t="shared" si="78"/>
        <v>0</v>
      </c>
      <c r="T364" s="3"/>
      <c r="U364" s="4">
        <f t="shared" si="76"/>
        <v>94500000</v>
      </c>
      <c r="V364">
        <f t="shared" si="77"/>
        <v>691839629299.14331</v>
      </c>
    </row>
    <row r="365" spans="1:22" x14ac:dyDescent="0.5">
      <c r="A365" s="3">
        <v>40</v>
      </c>
      <c r="B365" s="3">
        <v>1</v>
      </c>
      <c r="C365" s="3">
        <v>5</v>
      </c>
      <c r="D365" s="3">
        <v>35</v>
      </c>
      <c r="E365" s="3">
        <v>7.0000000000000007E-2</v>
      </c>
      <c r="F365" s="3">
        <f t="shared" si="70"/>
        <v>3.2944744252340157</v>
      </c>
      <c r="G365" s="5">
        <v>0.35</v>
      </c>
      <c r="H365" s="4">
        <v>35000000</v>
      </c>
      <c r="I365" s="4">
        <f t="shared" si="80"/>
        <v>35000000</v>
      </c>
      <c r="J365" s="3">
        <v>210000000000</v>
      </c>
      <c r="K365" s="4">
        <f t="shared" si="81"/>
        <v>8.8170111356309533E-2</v>
      </c>
      <c r="L365" s="6">
        <f t="shared" si="71"/>
        <v>3.0859538974708336</v>
      </c>
      <c r="M365" s="4">
        <f t="shared" si="72"/>
        <v>33448833.707163259</v>
      </c>
      <c r="N365" s="4">
        <f t="shared" si="73"/>
        <v>1896835174.223109</v>
      </c>
      <c r="O365" s="4">
        <f t="shared" si="74"/>
        <v>121999154312.02667</v>
      </c>
      <c r="P365" s="4">
        <f t="shared" si="75"/>
        <v>-10756679021.066984</v>
      </c>
      <c r="Q365" s="4">
        <f t="shared" si="78"/>
        <v>0</v>
      </c>
      <c r="R365" s="4">
        <f t="shared" si="78"/>
        <v>0</v>
      </c>
      <c r="S365" s="4">
        <f t="shared" si="78"/>
        <v>0</v>
      </c>
      <c r="T365" s="3"/>
      <c r="U365" s="4">
        <f t="shared" si="76"/>
        <v>94500000</v>
      </c>
      <c r="V365">
        <f t="shared" si="77"/>
        <v>691839629299.14331</v>
      </c>
    </row>
    <row r="366" spans="1:22" x14ac:dyDescent="0.5">
      <c r="A366" s="3">
        <v>40</v>
      </c>
      <c r="B366" s="3">
        <v>1</v>
      </c>
      <c r="C366" s="3">
        <v>5</v>
      </c>
      <c r="D366" s="3">
        <v>35</v>
      </c>
      <c r="E366" s="3">
        <v>7.0000000000000007E-2</v>
      </c>
      <c r="F366" s="3">
        <f t="shared" si="70"/>
        <v>3.2944744252340157</v>
      </c>
      <c r="G366" s="5">
        <v>0.35</v>
      </c>
      <c r="H366" s="4">
        <v>35000000</v>
      </c>
      <c r="I366" s="4">
        <f t="shared" si="80"/>
        <v>35000000</v>
      </c>
      <c r="J366" s="3">
        <v>210000000000</v>
      </c>
      <c r="K366" s="4">
        <f t="shared" si="81"/>
        <v>8.8170111356309533E-2</v>
      </c>
      <c r="L366" s="6">
        <f t="shared" si="71"/>
        <v>3.0859538974708336</v>
      </c>
      <c r="M366" s="4">
        <f t="shared" si="72"/>
        <v>33448833.707163259</v>
      </c>
      <c r="N366" s="4">
        <f t="shared" si="73"/>
        <v>1896835174.223109</v>
      </c>
      <c r="O366" s="4">
        <f t="shared" si="74"/>
        <v>121999154312.02667</v>
      </c>
      <c r="P366" s="4">
        <f t="shared" si="75"/>
        <v>-10756679021.066984</v>
      </c>
      <c r="Q366" s="4">
        <f t="shared" si="78"/>
        <v>0</v>
      </c>
      <c r="R366" s="4">
        <f t="shared" si="78"/>
        <v>0</v>
      </c>
      <c r="S366" s="4">
        <f t="shared" si="78"/>
        <v>0</v>
      </c>
      <c r="T366" s="3"/>
      <c r="U366" s="4">
        <f t="shared" si="76"/>
        <v>94500000</v>
      </c>
      <c r="V366">
        <f t="shared" si="77"/>
        <v>691839629299.14331</v>
      </c>
    </row>
    <row r="367" spans="1:22" x14ac:dyDescent="0.5">
      <c r="A367" s="3">
        <v>40</v>
      </c>
      <c r="B367" s="3">
        <v>1</v>
      </c>
      <c r="C367" s="3">
        <v>5</v>
      </c>
      <c r="D367" s="3">
        <v>35</v>
      </c>
      <c r="E367" s="3">
        <v>7.0000000000000007E-2</v>
      </c>
      <c r="F367" s="3">
        <f t="shared" si="70"/>
        <v>3.2944744252340157</v>
      </c>
      <c r="G367" s="5">
        <v>0.35</v>
      </c>
      <c r="H367" s="4">
        <v>35000000</v>
      </c>
      <c r="I367" s="4">
        <f t="shared" si="80"/>
        <v>35000000</v>
      </c>
      <c r="J367" s="3">
        <v>210000000000</v>
      </c>
      <c r="K367" s="4">
        <f t="shared" si="81"/>
        <v>8.8170111356309533E-2</v>
      </c>
      <c r="L367" s="6">
        <f t="shared" si="71"/>
        <v>3.0859538974708336</v>
      </c>
      <c r="M367" s="4">
        <f t="shared" si="72"/>
        <v>33448833.707163259</v>
      </c>
      <c r="N367" s="4">
        <f t="shared" si="73"/>
        <v>1896835174.223109</v>
      </c>
      <c r="O367" s="4">
        <f t="shared" si="74"/>
        <v>121999154312.02667</v>
      </c>
      <c r="P367" s="4">
        <f t="shared" si="75"/>
        <v>-10756679021.066984</v>
      </c>
      <c r="Q367" s="4">
        <f t="shared" si="78"/>
        <v>0</v>
      </c>
      <c r="R367" s="4">
        <f t="shared" si="78"/>
        <v>0</v>
      </c>
      <c r="S367" s="4">
        <f t="shared" si="78"/>
        <v>0</v>
      </c>
      <c r="T367" s="3"/>
      <c r="U367" s="4">
        <f t="shared" si="76"/>
        <v>94500000</v>
      </c>
      <c r="V367">
        <f t="shared" si="77"/>
        <v>691839629299.14331</v>
      </c>
    </row>
    <row r="368" spans="1:22" x14ac:dyDescent="0.5">
      <c r="A368" s="3">
        <v>40</v>
      </c>
      <c r="B368" s="3">
        <v>0.99487836100000004</v>
      </c>
      <c r="C368" s="3">
        <v>5</v>
      </c>
      <c r="D368" s="3">
        <v>35</v>
      </c>
      <c r="E368" s="3">
        <v>7.0000000000000007E-2</v>
      </c>
      <c r="F368" s="3">
        <f t="shared" si="70"/>
        <v>3.2944744252340157</v>
      </c>
      <c r="G368" s="5">
        <v>0.35</v>
      </c>
      <c r="H368" s="4">
        <v>35000000</v>
      </c>
      <c r="I368" s="4">
        <f t="shared" si="80"/>
        <v>34820742.634999998</v>
      </c>
      <c r="J368" s="3">
        <v>210000000000</v>
      </c>
      <c r="K368" s="4">
        <f t="shared" si="81"/>
        <v>8.8170111356309533E-2</v>
      </c>
      <c r="L368" s="6">
        <f t="shared" si="71"/>
        <v>3.0859538974708336</v>
      </c>
      <c r="M368" s="4">
        <f t="shared" si="72"/>
        <v>33263284.452118963</v>
      </c>
      <c r="N368" s="4">
        <f t="shared" si="73"/>
        <v>1886312943.2658141</v>
      </c>
      <c r="O368" s="4">
        <f t="shared" si="74"/>
        <v>121322393729.07747</v>
      </c>
      <c r="P368" s="4">
        <f t="shared" si="75"/>
        <v>-10697008965.106791</v>
      </c>
      <c r="Q368" s="4">
        <f t="shared" si="78"/>
        <v>10522230.957294941</v>
      </c>
      <c r="R368" s="4">
        <f t="shared" si="78"/>
        <v>676760582.94920349</v>
      </c>
      <c r="S368" s="4">
        <f t="shared" si="78"/>
        <v>-59670055.960193634</v>
      </c>
      <c r="T368" s="3"/>
      <c r="U368" s="4">
        <f t="shared" si="76"/>
        <v>94016005.114500001</v>
      </c>
      <c r="V368">
        <f t="shared" si="77"/>
        <v>691839629299.14331</v>
      </c>
    </row>
    <row r="369" spans="1:22" x14ac:dyDescent="0.5">
      <c r="A369" s="3">
        <v>40</v>
      </c>
      <c r="B369" s="3">
        <v>0.99007682450000001</v>
      </c>
      <c r="C369" s="3">
        <v>5</v>
      </c>
      <c r="D369" s="3">
        <v>35</v>
      </c>
      <c r="E369" s="3">
        <v>7.0000000000000007E-2</v>
      </c>
      <c r="F369" s="3">
        <f t="shared" si="70"/>
        <v>3.2944744252340157</v>
      </c>
      <c r="G369" s="5">
        <v>0.35</v>
      </c>
      <c r="H369" s="4">
        <v>35000000</v>
      </c>
      <c r="I369" s="4">
        <f t="shared" si="80"/>
        <v>34652688.857500002</v>
      </c>
      <c r="J369" s="3">
        <v>210000000000</v>
      </c>
      <c r="K369" s="4">
        <f t="shared" si="81"/>
        <v>8.8170111356309533E-2</v>
      </c>
      <c r="L369" s="6">
        <f t="shared" si="71"/>
        <v>3.0859538974708336</v>
      </c>
      <c r="M369" s="4">
        <f t="shared" si="72"/>
        <v>33089404.299071208</v>
      </c>
      <c r="N369" s="4">
        <f t="shared" si="73"/>
        <v>1876452450.2726114</v>
      </c>
      <c r="O369" s="4">
        <f t="shared" si="74"/>
        <v>120688194288.54721</v>
      </c>
      <c r="P369" s="4">
        <f t="shared" si="75"/>
        <v>-10641091529.813129</v>
      </c>
      <c r="Q369" s="4">
        <f t="shared" si="78"/>
        <v>9860492.9932026863</v>
      </c>
      <c r="R369" s="4">
        <f t="shared" si="78"/>
        <v>634199440.53025818</v>
      </c>
      <c r="S369" s="4">
        <f t="shared" si="78"/>
        <v>-55917435.293661118</v>
      </c>
      <c r="T369" s="3"/>
      <c r="U369" s="4">
        <f t="shared" si="76"/>
        <v>93562259.915250018</v>
      </c>
      <c r="V369">
        <f t="shared" si="77"/>
        <v>691839629299.14331</v>
      </c>
    </row>
    <row r="370" spans="1:22" x14ac:dyDescent="0.5">
      <c r="A370" s="3">
        <v>40</v>
      </c>
      <c r="B370" s="3">
        <v>0.98271446849999999</v>
      </c>
      <c r="C370" s="3">
        <v>5</v>
      </c>
      <c r="D370" s="3">
        <v>35</v>
      </c>
      <c r="E370" s="3">
        <v>7.0000000000000007E-2</v>
      </c>
      <c r="F370" s="3">
        <f t="shared" si="70"/>
        <v>3.2944744252340157</v>
      </c>
      <c r="G370" s="5">
        <v>0.35</v>
      </c>
      <c r="H370" s="4">
        <v>35000000</v>
      </c>
      <c r="I370" s="4">
        <f t="shared" si="80"/>
        <v>34395006.397500001</v>
      </c>
      <c r="J370" s="3">
        <v>210000000000</v>
      </c>
      <c r="K370" s="4">
        <f t="shared" si="81"/>
        <v>8.8170111356309533E-2</v>
      </c>
      <c r="L370" s="6">
        <f t="shared" si="71"/>
        <v>3.0859538974708336</v>
      </c>
      <c r="M370" s="4">
        <f t="shared" si="72"/>
        <v>32822924.627505176</v>
      </c>
      <c r="N370" s="4">
        <f t="shared" si="73"/>
        <v>1861340771.9801149</v>
      </c>
      <c r="O370" s="4">
        <f t="shared" si="74"/>
        <v>119716253238.01547</v>
      </c>
      <c r="P370" s="4">
        <f t="shared" si="75"/>
        <v>-10555395379.155977</v>
      </c>
      <c r="Q370" s="4">
        <f t="shared" si="78"/>
        <v>15111678.292496443</v>
      </c>
      <c r="R370" s="4">
        <f t="shared" si="78"/>
        <v>971941050.53173828</v>
      </c>
      <c r="S370" s="4">
        <f t="shared" si="78"/>
        <v>-85696150.657152176</v>
      </c>
      <c r="T370" s="3"/>
      <c r="U370" s="4">
        <f t="shared" si="76"/>
        <v>92866517.273250014</v>
      </c>
      <c r="V370">
        <f t="shared" si="77"/>
        <v>691839629299.14331</v>
      </c>
    </row>
    <row r="371" spans="1:22" x14ac:dyDescent="0.5">
      <c r="A371" s="3">
        <v>40</v>
      </c>
      <c r="B371" s="3">
        <v>0.97247119100000001</v>
      </c>
      <c r="C371" s="3">
        <v>5</v>
      </c>
      <c r="D371" s="3">
        <v>35</v>
      </c>
      <c r="E371" s="3">
        <v>7.0000000000000007E-2</v>
      </c>
      <c r="F371" s="3">
        <f t="shared" si="70"/>
        <v>3.2944744252340157</v>
      </c>
      <c r="G371" s="5">
        <v>0.35</v>
      </c>
      <c r="H371" s="4">
        <v>35000000</v>
      </c>
      <c r="I371" s="4">
        <f t="shared" si="80"/>
        <v>34036491.685000002</v>
      </c>
      <c r="J371" s="3">
        <v>210000000000</v>
      </c>
      <c r="K371" s="4">
        <f t="shared" si="81"/>
        <v>8.8170111356309533E-2</v>
      </c>
      <c r="L371" s="6">
        <f t="shared" si="71"/>
        <v>3.0859538974708336</v>
      </c>
      <c r="M371" s="4">
        <f t="shared" si="72"/>
        <v>32452447.239405245</v>
      </c>
      <c r="N371" s="4">
        <f t="shared" si="73"/>
        <v>1840331532.9987342</v>
      </c>
      <c r="O371" s="4">
        <f t="shared" si="74"/>
        <v>118364997513.05904</v>
      </c>
      <c r="P371" s="4">
        <f t="shared" si="75"/>
        <v>-10436255011.415716</v>
      </c>
      <c r="Q371" s="4">
        <f t="shared" si="78"/>
        <v>21009238.981380701</v>
      </c>
      <c r="R371" s="4">
        <f t="shared" si="78"/>
        <v>1351255724.9564362</v>
      </c>
      <c r="S371" s="4">
        <f t="shared" si="78"/>
        <v>-119140367.74026108</v>
      </c>
      <c r="T371" s="3"/>
      <c r="U371" s="4">
        <f t="shared" si="76"/>
        <v>91898527.549500018</v>
      </c>
      <c r="V371">
        <f t="shared" si="77"/>
        <v>691839629299.14331</v>
      </c>
    </row>
    <row r="372" spans="1:22" x14ac:dyDescent="0.5">
      <c r="A372" s="3">
        <v>40</v>
      </c>
      <c r="B372" s="3">
        <v>0.96222791299999999</v>
      </c>
      <c r="C372" s="3">
        <v>5</v>
      </c>
      <c r="D372" s="3">
        <v>35</v>
      </c>
      <c r="E372" s="3">
        <v>7.0000000000000007E-2</v>
      </c>
      <c r="F372" s="3">
        <f t="shared" si="70"/>
        <v>3.2944744252340157</v>
      </c>
      <c r="G372" s="5">
        <v>0.35</v>
      </c>
      <c r="H372" s="4">
        <v>35000000</v>
      </c>
      <c r="I372" s="4">
        <f t="shared" si="80"/>
        <v>33677976.954999998</v>
      </c>
      <c r="J372" s="3">
        <v>210000000000</v>
      </c>
      <c r="K372" s="4">
        <f t="shared" si="81"/>
        <v>8.8170111356309533E-2</v>
      </c>
      <c r="L372" s="6">
        <f t="shared" si="71"/>
        <v>3.0859538974708336</v>
      </c>
      <c r="M372" s="4">
        <f t="shared" si="72"/>
        <v>32082294.89041942</v>
      </c>
      <c r="N372" s="4">
        <f t="shared" si="73"/>
        <v>1819340726.5172734</v>
      </c>
      <c r="O372" s="4">
        <f t="shared" si="74"/>
        <v>117014927315.14926</v>
      </c>
      <c r="P372" s="4">
        <f t="shared" si="75"/>
        <v>-10317219171.727177</v>
      </c>
      <c r="Q372" s="4">
        <f t="shared" si="78"/>
        <v>20990806.48146081</v>
      </c>
      <c r="R372" s="4">
        <f t="shared" si="78"/>
        <v>1350070197.9097748</v>
      </c>
      <c r="S372" s="4">
        <f t="shared" si="78"/>
        <v>-119035839.68853951</v>
      </c>
      <c r="T372" s="3"/>
      <c r="U372" s="4">
        <f t="shared" si="76"/>
        <v>90930537.778500006</v>
      </c>
      <c r="V372">
        <f t="shared" si="77"/>
        <v>691839629299.14331</v>
      </c>
    </row>
    <row r="373" spans="1:22" x14ac:dyDescent="0.5">
      <c r="A373" s="3">
        <v>40</v>
      </c>
      <c r="B373" s="3">
        <v>0.94782330300000006</v>
      </c>
      <c r="C373" s="3">
        <v>5</v>
      </c>
      <c r="D373" s="3">
        <v>35</v>
      </c>
      <c r="E373" s="3">
        <v>7.0000000000000007E-2</v>
      </c>
      <c r="F373" s="3">
        <f t="shared" si="70"/>
        <v>3.2944744252340157</v>
      </c>
      <c r="G373" s="5">
        <v>0.35</v>
      </c>
      <c r="H373" s="4">
        <v>35000000</v>
      </c>
      <c r="I373" s="4">
        <f t="shared" si="80"/>
        <v>33173815.605</v>
      </c>
      <c r="J373" s="3">
        <v>210000000000</v>
      </c>
      <c r="K373" s="4">
        <f t="shared" si="81"/>
        <v>8.8170111356309533E-2</v>
      </c>
      <c r="L373" s="6">
        <f t="shared" si="71"/>
        <v>3.0859538974708336</v>
      </c>
      <c r="M373" s="4">
        <f t="shared" si="72"/>
        <v>31562324.204541408</v>
      </c>
      <c r="N373" s="4">
        <f t="shared" si="73"/>
        <v>1789853937.974117</v>
      </c>
      <c r="O373" s="4">
        <f t="shared" si="74"/>
        <v>115118419218.64793</v>
      </c>
      <c r="P373" s="4">
        <f t="shared" si="75"/>
        <v>-10150003841.670513</v>
      </c>
      <c r="Q373" s="4">
        <f t="shared" si="78"/>
        <v>29486788.543156385</v>
      </c>
      <c r="R373" s="4">
        <f t="shared" si="78"/>
        <v>1896508096.5013275</v>
      </c>
      <c r="S373" s="4">
        <f t="shared" si="78"/>
        <v>-167215330.05666351</v>
      </c>
      <c r="T373" s="3"/>
      <c r="U373" s="4">
        <f t="shared" si="76"/>
        <v>89569302.13350001</v>
      </c>
      <c r="V373">
        <f t="shared" si="77"/>
        <v>691839629299.14331</v>
      </c>
    </row>
    <row r="374" spans="1:22" x14ac:dyDescent="0.5">
      <c r="A374" s="3">
        <v>40</v>
      </c>
      <c r="B374" s="3">
        <v>0.93149807900000003</v>
      </c>
      <c r="C374" s="3">
        <v>5</v>
      </c>
      <c r="D374" s="3">
        <v>35</v>
      </c>
      <c r="E374" s="3">
        <v>7.0000000000000007E-2</v>
      </c>
      <c r="F374" s="3">
        <f t="shared" si="70"/>
        <v>3.2944744252340157</v>
      </c>
      <c r="G374" s="5">
        <v>0.35</v>
      </c>
      <c r="H374" s="4">
        <v>35000000</v>
      </c>
      <c r="I374" s="4">
        <f t="shared" si="80"/>
        <v>32602432.765000001</v>
      </c>
      <c r="J374" s="3">
        <v>210000000000</v>
      </c>
      <c r="K374" s="4">
        <f t="shared" si="81"/>
        <v>8.8170111356309533E-2</v>
      </c>
      <c r="L374" s="6">
        <f t="shared" si="71"/>
        <v>3.0859538974708336</v>
      </c>
      <c r="M374" s="4">
        <f t="shared" si="72"/>
        <v>30973820.222650286</v>
      </c>
      <c r="N374" s="4">
        <f t="shared" si="73"/>
        <v>1756480724.9409111</v>
      </c>
      <c r="O374" s="4">
        <f t="shared" si="74"/>
        <v>112971947125.52374</v>
      </c>
      <c r="P374" s="4">
        <f t="shared" si="75"/>
        <v>-9960749158.1965427</v>
      </c>
      <c r="Q374" s="4">
        <f t="shared" si="78"/>
        <v>33373213.033205986</v>
      </c>
      <c r="R374" s="4">
        <f t="shared" si="78"/>
        <v>2146472093.1241913</v>
      </c>
      <c r="S374" s="4">
        <f t="shared" si="78"/>
        <v>-189254683.47397041</v>
      </c>
      <c r="T374" s="3"/>
      <c r="U374" s="4">
        <f t="shared" si="76"/>
        <v>88026568.465500012</v>
      </c>
      <c r="V374">
        <f t="shared" si="77"/>
        <v>691839629299.14331</v>
      </c>
    </row>
    <row r="375" spans="1:22" x14ac:dyDescent="0.5">
      <c r="A375" s="3">
        <v>40</v>
      </c>
      <c r="B375" s="3">
        <v>0.91037131849999997</v>
      </c>
      <c r="C375" s="3">
        <v>5</v>
      </c>
      <c r="D375" s="3">
        <v>35</v>
      </c>
      <c r="E375" s="3">
        <v>7.0000000000000007E-2</v>
      </c>
      <c r="F375" s="3">
        <f t="shared" si="70"/>
        <v>3.2944744252340157</v>
      </c>
      <c r="G375" s="5">
        <v>0.35</v>
      </c>
      <c r="H375" s="4">
        <v>35000000</v>
      </c>
      <c r="I375" s="4">
        <f t="shared" si="80"/>
        <v>31862996.147499997</v>
      </c>
      <c r="J375" s="3">
        <v>210000000000</v>
      </c>
      <c r="K375" s="4">
        <f t="shared" si="81"/>
        <v>8.8170111356309533E-2</v>
      </c>
      <c r="L375" s="6">
        <f t="shared" si="71"/>
        <v>3.0859538974708336</v>
      </c>
      <c r="M375" s="4">
        <f t="shared" si="72"/>
        <v>30213503.860101014</v>
      </c>
      <c r="N375" s="4">
        <f t="shared" si="73"/>
        <v>1713364279.307951</v>
      </c>
      <c r="O375" s="4">
        <f t="shared" si="74"/>
        <v>110198817453.7187</v>
      </c>
      <c r="P375" s="4">
        <f t="shared" si="75"/>
        <v>-9716242006.2280045</v>
      </c>
      <c r="Q375" s="4">
        <f t="shared" si="78"/>
        <v>43116445.632960081</v>
      </c>
      <c r="R375" s="4">
        <f t="shared" si="78"/>
        <v>2773129671.8050385</v>
      </c>
      <c r="S375" s="4">
        <f t="shared" si="78"/>
        <v>-244507151.96853828</v>
      </c>
      <c r="T375" s="3"/>
      <c r="U375" s="4">
        <f t="shared" si="76"/>
        <v>86030089.598250002</v>
      </c>
      <c r="V375">
        <f t="shared" si="77"/>
        <v>691839629299.14331</v>
      </c>
    </row>
    <row r="376" spans="1:22" x14ac:dyDescent="0.5">
      <c r="A376" s="3">
        <v>40</v>
      </c>
      <c r="B376" s="3">
        <v>0.88796414850000005</v>
      </c>
      <c r="C376" s="3">
        <v>5</v>
      </c>
      <c r="D376" s="3">
        <v>35</v>
      </c>
      <c r="E376" s="3">
        <v>7.0000000000000007E-2</v>
      </c>
      <c r="F376" s="3">
        <f t="shared" si="70"/>
        <v>3.2944744252340157</v>
      </c>
      <c r="G376" s="5">
        <v>0.35</v>
      </c>
      <c r="H376" s="4">
        <v>35000000</v>
      </c>
      <c r="I376" s="4">
        <f t="shared" si="80"/>
        <v>31078745.197500002</v>
      </c>
      <c r="J376" s="3">
        <v>210000000000</v>
      </c>
      <c r="K376" s="4">
        <f t="shared" si="81"/>
        <v>8.8170111356309533E-2</v>
      </c>
      <c r="L376" s="6">
        <f t="shared" si="71"/>
        <v>3.0859538974708336</v>
      </c>
      <c r="M376" s="4">
        <f t="shared" si="72"/>
        <v>29408713.75306046</v>
      </c>
      <c r="N376" s="4">
        <f t="shared" si="73"/>
        <v>1667725791.6923311</v>
      </c>
      <c r="O376" s="4">
        <f t="shared" si="74"/>
        <v>107263477067.34802</v>
      </c>
      <c r="P376" s="4">
        <f t="shared" si="75"/>
        <v>-9457432717.4930305</v>
      </c>
      <c r="Q376" s="4">
        <f t="shared" si="78"/>
        <v>45638487.615619898</v>
      </c>
      <c r="R376" s="4">
        <f t="shared" si="78"/>
        <v>2935340386.3706818</v>
      </c>
      <c r="S376" s="4">
        <f t="shared" si="78"/>
        <v>-258809288.73497391</v>
      </c>
      <c r="T376" s="3"/>
      <c r="U376" s="4">
        <f t="shared" si="76"/>
        <v>83912612.033250004</v>
      </c>
      <c r="V376">
        <f t="shared" si="77"/>
        <v>691839629299.14331</v>
      </c>
    </row>
    <row r="377" spans="1:22" x14ac:dyDescent="0.5">
      <c r="A377" s="3">
        <v>40</v>
      </c>
      <c r="B377" s="3">
        <v>0.86299615899999993</v>
      </c>
      <c r="C377" s="3">
        <v>5</v>
      </c>
      <c r="D377" s="3">
        <v>35</v>
      </c>
      <c r="E377" s="3">
        <v>7.0000000000000007E-2</v>
      </c>
      <c r="F377" s="3">
        <f t="shared" si="70"/>
        <v>3.2944744252340157</v>
      </c>
      <c r="G377" s="5">
        <v>0.35</v>
      </c>
      <c r="H377" s="4">
        <v>35000000</v>
      </c>
      <c r="I377" s="4">
        <f t="shared" si="80"/>
        <v>30204865.564999998</v>
      </c>
      <c r="J377" s="3">
        <v>210000000000</v>
      </c>
      <c r="K377" s="4">
        <f t="shared" si="81"/>
        <v>8.8170111356309533E-2</v>
      </c>
      <c r="L377" s="6">
        <f t="shared" si="71"/>
        <v>3.0859538974708336</v>
      </c>
      <c r="M377" s="4">
        <f t="shared" si="72"/>
        <v>28513941.050203647</v>
      </c>
      <c r="N377" s="4">
        <f t="shared" si="73"/>
        <v>1616984520.6939938</v>
      </c>
      <c r="O377" s="4">
        <f t="shared" si="74"/>
        <v>103999939868.84056</v>
      </c>
      <c r="P377" s="4">
        <f t="shared" si="75"/>
        <v>-9169686279.2851677</v>
      </c>
      <c r="Q377" s="4">
        <f t="shared" si="78"/>
        <v>50741270.998337269</v>
      </c>
      <c r="R377" s="4">
        <f t="shared" si="78"/>
        <v>3263537198.5074615</v>
      </c>
      <c r="S377" s="4">
        <f t="shared" si="78"/>
        <v>-287746438.20786285</v>
      </c>
      <c r="T377" s="3"/>
      <c r="U377" s="4">
        <f t="shared" si="76"/>
        <v>81553137.0255</v>
      </c>
      <c r="V377">
        <f t="shared" si="77"/>
        <v>691839629299.14331</v>
      </c>
    </row>
    <row r="378" spans="1:22" x14ac:dyDescent="0.5">
      <c r="A378" s="3">
        <v>40</v>
      </c>
      <c r="B378" s="3">
        <v>0.83514724699999998</v>
      </c>
      <c r="C378" s="3">
        <v>5</v>
      </c>
      <c r="D378" s="3">
        <v>35</v>
      </c>
      <c r="E378" s="3">
        <v>7.0000000000000007E-2</v>
      </c>
      <c r="F378" s="3">
        <f t="shared" si="70"/>
        <v>3.2944744252340157</v>
      </c>
      <c r="G378" s="5">
        <v>0.35</v>
      </c>
      <c r="H378" s="4">
        <v>35000000</v>
      </c>
      <c r="I378" s="4">
        <f t="shared" si="80"/>
        <v>29230153.645</v>
      </c>
      <c r="J378" s="3">
        <v>210000000000</v>
      </c>
      <c r="K378" s="4">
        <f t="shared" si="81"/>
        <v>8.8170111356309533E-2</v>
      </c>
      <c r="L378" s="6">
        <f t="shared" si="71"/>
        <v>3.0859538974708336</v>
      </c>
      <c r="M378" s="4">
        <f t="shared" si="72"/>
        <v>27518470.242977701</v>
      </c>
      <c r="N378" s="4">
        <f t="shared" si="73"/>
        <v>1560532805.2593219</v>
      </c>
      <c r="O378" s="4">
        <f t="shared" si="74"/>
        <v>100369122792.01474</v>
      </c>
      <c r="P378" s="4">
        <f t="shared" si="75"/>
        <v>-8849556733.307045</v>
      </c>
      <c r="Q378" s="4">
        <f t="shared" si="78"/>
        <v>56451715.434671879</v>
      </c>
      <c r="R378" s="4">
        <f t="shared" si="78"/>
        <v>3630817076.8258209</v>
      </c>
      <c r="S378" s="4">
        <f t="shared" si="78"/>
        <v>-320129545.97812271</v>
      </c>
      <c r="T378" s="3"/>
      <c r="U378" s="4">
        <f t="shared" si="76"/>
        <v>78921414.841499999</v>
      </c>
      <c r="V378">
        <f t="shared" si="77"/>
        <v>691839629299.14331</v>
      </c>
    </row>
    <row r="379" spans="1:22" x14ac:dyDescent="0.5">
      <c r="A379" s="3">
        <v>40</v>
      </c>
      <c r="B379" s="3">
        <v>0.80185659399999998</v>
      </c>
      <c r="C379" s="3">
        <v>5</v>
      </c>
      <c r="D379" s="3">
        <v>35</v>
      </c>
      <c r="E379" s="3">
        <v>7.0000000000000007E-2</v>
      </c>
      <c r="F379" s="3">
        <f t="shared" si="70"/>
        <v>3.2944744252340157</v>
      </c>
      <c r="G379" s="5">
        <v>0.35</v>
      </c>
      <c r="H379" s="4">
        <v>35000000</v>
      </c>
      <c r="I379" s="4">
        <f t="shared" si="80"/>
        <v>28064980.789999999</v>
      </c>
      <c r="J379" s="3">
        <v>210000000000</v>
      </c>
      <c r="K379" s="4">
        <f t="shared" si="81"/>
        <v>8.8170111356309533E-2</v>
      </c>
      <c r="L379" s="6">
        <f t="shared" si="71"/>
        <v>3.0859538974708336</v>
      </c>
      <c r="M379" s="4">
        <f t="shared" si="72"/>
        <v>26332114.998235144</v>
      </c>
      <c r="N379" s="4">
        <f t="shared" si="73"/>
        <v>1493256308.3550417</v>
      </c>
      <c r="O379" s="4">
        <f t="shared" si="74"/>
        <v>96042085926.115463</v>
      </c>
      <c r="P379" s="4">
        <f t="shared" si="75"/>
        <v>-8468041410.9978495</v>
      </c>
      <c r="Q379" s="4">
        <f t="shared" si="78"/>
        <v>67276496.904280186</v>
      </c>
      <c r="R379" s="4">
        <f t="shared" si="78"/>
        <v>4327036865.8992767</v>
      </c>
      <c r="S379" s="4">
        <f t="shared" si="78"/>
        <v>-381515322.30919552</v>
      </c>
      <c r="T379" s="3"/>
      <c r="U379" s="4">
        <f t="shared" si="76"/>
        <v>75775448.133000001</v>
      </c>
      <c r="V379">
        <f t="shared" si="77"/>
        <v>691839629299.14331</v>
      </c>
    </row>
    <row r="380" spans="1:22" x14ac:dyDescent="0.5">
      <c r="A380" s="3">
        <v>40</v>
      </c>
      <c r="B380" s="3">
        <v>0.76728553150000001</v>
      </c>
      <c r="C380" s="3">
        <v>5</v>
      </c>
      <c r="D380" s="3">
        <v>35</v>
      </c>
      <c r="E380" s="3">
        <v>7.0000000000000007E-2</v>
      </c>
      <c r="F380" s="3">
        <f t="shared" si="70"/>
        <v>3.2944744252340157</v>
      </c>
      <c r="G380" s="5">
        <v>0.35</v>
      </c>
      <c r="H380" s="4">
        <v>35000000</v>
      </c>
      <c r="I380" s="4">
        <f t="shared" si="80"/>
        <v>26854993.602499999</v>
      </c>
      <c r="J380" s="3">
        <v>210000000000</v>
      </c>
      <c r="K380" s="4">
        <f t="shared" si="81"/>
        <v>8.8170111356309533E-2</v>
      </c>
      <c r="L380" s="6">
        <f t="shared" si="71"/>
        <v>3.0859538974708336</v>
      </c>
      <c r="M380" s="4">
        <f t="shared" si="72"/>
        <v>25104470.884464558</v>
      </c>
      <c r="N380" s="4">
        <f t="shared" si="73"/>
        <v>1423638379.1675942</v>
      </c>
      <c r="O380" s="4">
        <f t="shared" si="74"/>
        <v>91564454658.389847</v>
      </c>
      <c r="P380" s="4">
        <f t="shared" si="75"/>
        <v>-8073248163.5099888</v>
      </c>
      <c r="Q380" s="4">
        <f t="shared" si="78"/>
        <v>69617929.187447548</v>
      </c>
      <c r="R380" s="4">
        <f t="shared" si="78"/>
        <v>4477631267.7256165</v>
      </c>
      <c r="S380" s="4">
        <f t="shared" si="78"/>
        <v>-394793247.48786068</v>
      </c>
      <c r="T380" s="3"/>
      <c r="U380" s="4">
        <f t="shared" si="76"/>
        <v>72508482.726750001</v>
      </c>
      <c r="V380">
        <f t="shared" si="77"/>
        <v>691839629299.14331</v>
      </c>
    </row>
    <row r="381" spans="1:22" x14ac:dyDescent="0.5">
      <c r="A381" s="3">
        <v>40</v>
      </c>
      <c r="B381" s="3">
        <v>0.73015364900000002</v>
      </c>
      <c r="C381" s="3">
        <v>5</v>
      </c>
      <c r="D381" s="3">
        <v>35</v>
      </c>
      <c r="E381" s="3">
        <v>7.0000000000000007E-2</v>
      </c>
      <c r="F381" s="3">
        <f t="shared" si="70"/>
        <v>3.2944744252340157</v>
      </c>
      <c r="G381" s="5">
        <v>0.35</v>
      </c>
      <c r="H381" s="4">
        <v>35000000</v>
      </c>
      <c r="I381" s="4">
        <f t="shared" si="80"/>
        <v>25555377.715</v>
      </c>
      <c r="J381" s="3">
        <v>210000000000</v>
      </c>
      <c r="K381" s="4">
        <f t="shared" si="81"/>
        <v>8.8170111356309533E-2</v>
      </c>
      <c r="L381" s="6">
        <f t="shared" si="71"/>
        <v>3.0859538974708336</v>
      </c>
      <c r="M381" s="4">
        <f t="shared" si="72"/>
        <v>23791021.768811699</v>
      </c>
      <c r="N381" s="4">
        <f t="shared" si="73"/>
        <v>1349154571.9313188</v>
      </c>
      <c r="O381" s="4">
        <f t="shared" si="74"/>
        <v>86773863669.645996</v>
      </c>
      <c r="P381" s="4">
        <f t="shared" si="75"/>
        <v>-7650861222.56991</v>
      </c>
      <c r="Q381" s="4">
        <f t="shared" si="78"/>
        <v>74483807.236275434</v>
      </c>
      <c r="R381" s="4">
        <f t="shared" si="78"/>
        <v>4790590988.7438507</v>
      </c>
      <c r="S381" s="4">
        <f t="shared" si="78"/>
        <v>-422386940.94007874</v>
      </c>
      <c r="T381" s="3"/>
      <c r="U381" s="4">
        <f t="shared" si="76"/>
        <v>68999519.830500007</v>
      </c>
      <c r="V381">
        <f t="shared" si="77"/>
        <v>691839629299.14331</v>
      </c>
    </row>
    <row r="382" spans="1:22" x14ac:dyDescent="0.5">
      <c r="A382" s="3">
        <v>40</v>
      </c>
      <c r="B382" s="3">
        <v>0.69046094749999998</v>
      </c>
      <c r="C382" s="3">
        <v>5</v>
      </c>
      <c r="D382" s="3">
        <v>35</v>
      </c>
      <c r="E382" s="3">
        <v>7.0000000000000007E-2</v>
      </c>
      <c r="F382" s="3">
        <f t="shared" si="70"/>
        <v>3.2944744252340157</v>
      </c>
      <c r="G382" s="5">
        <v>0.35</v>
      </c>
      <c r="H382" s="4">
        <v>35000000</v>
      </c>
      <c r="I382" s="4">
        <f t="shared" si="80"/>
        <v>24166133.162499998</v>
      </c>
      <c r="J382" s="3">
        <v>210000000000</v>
      </c>
      <c r="K382" s="4">
        <f t="shared" si="81"/>
        <v>8.8170111356309533E-2</v>
      </c>
      <c r="L382" s="6">
        <f t="shared" si="71"/>
        <v>3.0859538974708336</v>
      </c>
      <c r="M382" s="4">
        <f t="shared" si="72"/>
        <v>22393141.581740443</v>
      </c>
      <c r="N382" s="4">
        <f t="shared" si="73"/>
        <v>1269882800.263582</v>
      </c>
      <c r="O382" s="4">
        <f t="shared" si="74"/>
        <v>81675324146.705643</v>
      </c>
      <c r="P382" s="4">
        <f t="shared" si="75"/>
        <v>-7201322425.077714</v>
      </c>
      <c r="Q382" s="4">
        <f t="shared" si="78"/>
        <v>79271771.667736769</v>
      </c>
      <c r="R382" s="4">
        <f t="shared" si="78"/>
        <v>5098539522.9403534</v>
      </c>
      <c r="S382" s="4">
        <f t="shared" si="78"/>
        <v>-449538797.49219608</v>
      </c>
      <c r="T382" s="3"/>
      <c r="U382" s="4">
        <f t="shared" si="76"/>
        <v>65248559.53875</v>
      </c>
      <c r="V382">
        <f t="shared" si="77"/>
        <v>691839629299.14331</v>
      </c>
    </row>
    <row r="383" spans="1:22" x14ac:dyDescent="0.5">
      <c r="A383" s="3">
        <v>40</v>
      </c>
      <c r="B383" s="3">
        <v>0.65076824550000001</v>
      </c>
      <c r="C383" s="3">
        <v>5</v>
      </c>
      <c r="D383" s="3">
        <v>35</v>
      </c>
      <c r="E383" s="3">
        <v>7.0000000000000007E-2</v>
      </c>
      <c r="F383" s="3">
        <f t="shared" si="70"/>
        <v>3.2944744252340157</v>
      </c>
      <c r="G383" s="5">
        <v>0.35</v>
      </c>
      <c r="H383" s="4">
        <v>35000000</v>
      </c>
      <c r="I383" s="4">
        <f t="shared" si="80"/>
        <v>22776888.592500001</v>
      </c>
      <c r="J383" s="3">
        <v>210000000000</v>
      </c>
      <c r="K383" s="4">
        <f t="shared" si="81"/>
        <v>8.8170111356309533E-2</v>
      </c>
      <c r="L383" s="6">
        <f t="shared" si="71"/>
        <v>3.0859538974708336</v>
      </c>
      <c r="M383" s="4">
        <f t="shared" si="72"/>
        <v>21001945.575316016</v>
      </c>
      <c r="N383" s="4">
        <f t="shared" si="73"/>
        <v>1190990078.8513122</v>
      </c>
      <c r="O383" s="4">
        <f t="shared" si="74"/>
        <v>76601164080.260605</v>
      </c>
      <c r="P383" s="4">
        <f t="shared" si="75"/>
        <v>-6753933166.9795151</v>
      </c>
      <c r="Q383" s="4">
        <f t="shared" si="78"/>
        <v>78892721.412269831</v>
      </c>
      <c r="R383" s="4">
        <f t="shared" si="78"/>
        <v>5074160066.4450378</v>
      </c>
      <c r="S383" s="4">
        <f t="shared" si="78"/>
        <v>-447389258.09819889</v>
      </c>
      <c r="T383" s="3"/>
      <c r="U383" s="4">
        <f t="shared" si="76"/>
        <v>61497599.199750006</v>
      </c>
      <c r="V383">
        <f t="shared" si="77"/>
        <v>691839629299.14331</v>
      </c>
    </row>
    <row r="384" spans="1:22" x14ac:dyDescent="0.5">
      <c r="A384" s="3">
        <v>40</v>
      </c>
      <c r="B384" s="3">
        <v>0.61107554399999997</v>
      </c>
      <c r="C384" s="3">
        <v>5</v>
      </c>
      <c r="D384" s="3">
        <v>35</v>
      </c>
      <c r="E384" s="3">
        <v>7.0000000000000007E-2</v>
      </c>
      <c r="F384" s="3">
        <f t="shared" si="70"/>
        <v>3.2944744252340157</v>
      </c>
      <c r="G384" s="5">
        <v>0.35</v>
      </c>
      <c r="H384" s="4">
        <v>35000000</v>
      </c>
      <c r="I384" s="4">
        <f t="shared" si="80"/>
        <v>21387644.039999999</v>
      </c>
      <c r="J384" s="3">
        <v>210000000000</v>
      </c>
      <c r="K384" s="4">
        <f t="shared" si="81"/>
        <v>8.8170111356309533E-2</v>
      </c>
      <c r="L384" s="6">
        <f t="shared" si="71"/>
        <v>3.0859538974708336</v>
      </c>
      <c r="M384" s="4">
        <f t="shared" si="72"/>
        <v>19617807.0041808</v>
      </c>
      <c r="N384" s="4">
        <f t="shared" si="73"/>
        <v>1112497574.4275804</v>
      </c>
      <c r="O384" s="4">
        <f t="shared" si="74"/>
        <v>71552744855.616898</v>
      </c>
      <c r="P384" s="4">
        <f t="shared" si="75"/>
        <v>-6308813481.7693462</v>
      </c>
      <c r="Q384" s="4">
        <f t="shared" si="78"/>
        <v>78492504.423731804</v>
      </c>
      <c r="R384" s="4">
        <f t="shared" si="78"/>
        <v>5048419224.6437073</v>
      </c>
      <c r="S384" s="4">
        <f t="shared" si="78"/>
        <v>-445119685.21016884</v>
      </c>
      <c r="T384" s="3"/>
      <c r="U384" s="4">
        <f t="shared" si="76"/>
        <v>57746638.908</v>
      </c>
      <c r="V384">
        <f t="shared" si="77"/>
        <v>691839629299.14331</v>
      </c>
    </row>
    <row r="385" spans="1:22" x14ac:dyDescent="0.5">
      <c r="A385" s="3">
        <v>40</v>
      </c>
      <c r="B385" s="3">
        <v>0.57010243299999996</v>
      </c>
      <c r="C385" s="3">
        <v>5</v>
      </c>
      <c r="D385" s="3">
        <v>35</v>
      </c>
      <c r="E385" s="3">
        <v>7.0000000000000007E-2</v>
      </c>
      <c r="F385" s="3">
        <f t="shared" si="70"/>
        <v>3.2944744252340157</v>
      </c>
      <c r="G385" s="5">
        <v>0.35</v>
      </c>
      <c r="H385" s="4">
        <v>35000000</v>
      </c>
      <c r="I385" s="4">
        <f t="shared" si="80"/>
        <v>19953585.154999997</v>
      </c>
      <c r="J385" s="3">
        <v>210000000000</v>
      </c>
      <c r="K385" s="4">
        <f t="shared" si="81"/>
        <v>8.8170111356309533E-2</v>
      </c>
      <c r="L385" s="6">
        <f t="shared" si="71"/>
        <v>3.0859538974708336</v>
      </c>
      <c r="M385" s="4">
        <f t="shared" si="72"/>
        <v>18196866.755909014</v>
      </c>
      <c r="N385" s="4">
        <f t="shared" si="73"/>
        <v>1031918099.9087414</v>
      </c>
      <c r="O385" s="4">
        <f t="shared" si="74"/>
        <v>66370097528.216827</v>
      </c>
      <c r="P385" s="4">
        <f t="shared" si="75"/>
        <v>-5851858889.7920017</v>
      </c>
      <c r="Q385" s="4">
        <f t="shared" si="78"/>
        <v>80579474.518839002</v>
      </c>
      <c r="R385" s="4">
        <f t="shared" si="78"/>
        <v>5182647327.4000702</v>
      </c>
      <c r="S385" s="4">
        <f t="shared" si="78"/>
        <v>-456954591.97734451</v>
      </c>
      <c r="T385" s="3"/>
      <c r="U385" s="4">
        <f t="shared" si="76"/>
        <v>53874679.918499999</v>
      </c>
      <c r="V385">
        <f t="shared" si="77"/>
        <v>691839629299.14331</v>
      </c>
    </row>
    <row r="386" spans="1:22" x14ac:dyDescent="0.5">
      <c r="A386" s="3">
        <v>40</v>
      </c>
      <c r="B386" s="3">
        <v>0.528809219</v>
      </c>
      <c r="C386" s="3">
        <v>5</v>
      </c>
      <c r="D386" s="3">
        <v>35</v>
      </c>
      <c r="E386" s="3">
        <v>7.0000000000000007E-2</v>
      </c>
      <c r="F386" s="3">
        <f t="shared" si="70"/>
        <v>3.2944744252340157</v>
      </c>
      <c r="G386" s="5">
        <v>0.35</v>
      </c>
      <c r="H386" s="4">
        <v>35000000</v>
      </c>
      <c r="I386" s="4">
        <f t="shared" si="80"/>
        <v>18508322.664999999</v>
      </c>
      <c r="J386" s="3">
        <v>210000000000</v>
      </c>
      <c r="K386" s="4">
        <f t="shared" si="81"/>
        <v>8.8170111356309533E-2</v>
      </c>
      <c r="L386" s="6">
        <f t="shared" si="71"/>
        <v>3.0859538974708336</v>
      </c>
      <c r="M386" s="4">
        <f t="shared" si="72"/>
        <v>16773418.468972068</v>
      </c>
      <c r="N386" s="4">
        <f t="shared" si="73"/>
        <v>951196398.13020086</v>
      </c>
      <c r="O386" s="4">
        <f t="shared" si="74"/>
        <v>61178302539.681244</v>
      </c>
      <c r="P386" s="4">
        <f t="shared" si="75"/>
        <v>-5394097747.51369</v>
      </c>
      <c r="Q386" s="4">
        <f t="shared" si="78"/>
        <v>80721701.778540492</v>
      </c>
      <c r="R386" s="4">
        <f t="shared" si="78"/>
        <v>5191794988.5355835</v>
      </c>
      <c r="S386" s="4">
        <f t="shared" si="78"/>
        <v>-457761142.27831173</v>
      </c>
      <c r="T386" s="3"/>
      <c r="U386" s="4">
        <f t="shared" si="76"/>
        <v>49972471.195500001</v>
      </c>
      <c r="V386">
        <f t="shared" si="77"/>
        <v>691839629299.14331</v>
      </c>
    </row>
    <row r="387" spans="1:22" x14ac:dyDescent="0.5">
      <c r="A387" s="3">
        <v>40</v>
      </c>
      <c r="B387" s="3">
        <v>0.4855953905</v>
      </c>
      <c r="C387" s="3">
        <v>5</v>
      </c>
      <c r="D387" s="3">
        <v>35</v>
      </c>
      <c r="E387" s="3">
        <v>7.0000000000000007E-2</v>
      </c>
      <c r="F387" s="3">
        <f t="shared" ref="F387:F450" si="82">(3.141592*((C387^4)-(C387-(2*E387))^4))/64</f>
        <v>3.2944744252340157</v>
      </c>
      <c r="G387" s="5">
        <v>0.35</v>
      </c>
      <c r="H387" s="4">
        <v>35000000</v>
      </c>
      <c r="I387" s="4">
        <f t="shared" si="80"/>
        <v>16995838.6675</v>
      </c>
      <c r="J387" s="3">
        <v>210000000000</v>
      </c>
      <c r="K387" s="4">
        <f t="shared" si="81"/>
        <v>8.8170111356309533E-2</v>
      </c>
      <c r="L387" s="6">
        <f t="shared" ref="L387:L450" si="83">K387*D387</f>
        <v>3.0859538974708336</v>
      </c>
      <c r="M387" s="4">
        <f t="shared" ref="M387:M450" si="84">(0.65/C387)*(((2*U387*(1+G387)*C387^4)/(J387*F387))^(1/12))*((2*U387*(1+G387))/(1-G387^2))</f>
        <v>15293671.161509154</v>
      </c>
      <c r="N387" s="4">
        <f t="shared" ref="N387:N450" si="85">IF(L387&gt;=2.5,M387*C387/K387,M387*C387*D387)</f>
        <v>867282060.00018418</v>
      </c>
      <c r="O387" s="4">
        <f t="shared" ref="O387:O450" si="86">IF(L387&gt;=2.5,M387*C387/(2*K387^3),M387*C387*(D387^3)/3)</f>
        <v>55781166074.880882</v>
      </c>
      <c r="P387" s="4">
        <f t="shared" ref="P387:P450" si="87">IF(L387&gt;=2.5,-(M387*C387/(2*K387^2)),-(M387*C387*(D387^2)/2))</f>
        <v>-4918231624.4070435</v>
      </c>
      <c r="Q387" s="4">
        <f t="shared" si="78"/>
        <v>83914338.130016685</v>
      </c>
      <c r="R387" s="4">
        <f t="shared" si="78"/>
        <v>5397136464.8003616</v>
      </c>
      <c r="S387" s="4">
        <f t="shared" si="78"/>
        <v>-475866123.10664654</v>
      </c>
      <c r="T387" s="3"/>
      <c r="U387" s="4">
        <f t="shared" ref="U387:U450" si="88">2*I387*(G387+1)</f>
        <v>45888764.402250007</v>
      </c>
      <c r="V387">
        <f t="shared" ref="V387:V450" si="89">J387*F387</f>
        <v>691839629299.14331</v>
      </c>
    </row>
    <row r="388" spans="1:22" x14ac:dyDescent="0.5">
      <c r="A388" s="3">
        <v>40</v>
      </c>
      <c r="B388" s="3">
        <v>0.44430217700000002</v>
      </c>
      <c r="C388" s="3">
        <v>5</v>
      </c>
      <c r="D388" s="3">
        <v>35</v>
      </c>
      <c r="E388" s="3">
        <v>7.0000000000000007E-2</v>
      </c>
      <c r="F388" s="3">
        <f t="shared" si="82"/>
        <v>3.2944744252340157</v>
      </c>
      <c r="G388" s="5">
        <v>0.35</v>
      </c>
      <c r="H388" s="4">
        <v>35000000</v>
      </c>
      <c r="I388" s="4">
        <f t="shared" si="80"/>
        <v>15550576.195</v>
      </c>
      <c r="J388" s="3">
        <v>210000000000</v>
      </c>
      <c r="K388" s="4">
        <f t="shared" si="81"/>
        <v>8.8170111356309533E-2</v>
      </c>
      <c r="L388" s="6">
        <f t="shared" si="83"/>
        <v>3.0859538974708336</v>
      </c>
      <c r="M388" s="4">
        <f t="shared" si="84"/>
        <v>13889905.490048423</v>
      </c>
      <c r="N388" s="4">
        <f t="shared" si="85"/>
        <v>787676530.99115932</v>
      </c>
      <c r="O388" s="4">
        <f t="shared" si="86"/>
        <v>50661160209.510834</v>
      </c>
      <c r="P388" s="4">
        <f t="shared" si="87"/>
        <v>-4466800137.1124077</v>
      </c>
      <c r="Q388" s="4">
        <f t="shared" ref="Q388:S451" si="90">N387-N388</f>
        <v>79605529.009024858</v>
      </c>
      <c r="R388" s="4">
        <f t="shared" si="90"/>
        <v>5120005865.3700485</v>
      </c>
      <c r="S388" s="4">
        <f t="shared" si="90"/>
        <v>-451431487.29463577</v>
      </c>
      <c r="T388" s="3"/>
      <c r="U388" s="4">
        <f t="shared" si="88"/>
        <v>41986555.726500005</v>
      </c>
      <c r="V388">
        <f t="shared" si="89"/>
        <v>691839629299.14331</v>
      </c>
    </row>
    <row r="389" spans="1:22" x14ac:dyDescent="0.5">
      <c r="A389" s="3">
        <v>40</v>
      </c>
      <c r="B389" s="3">
        <v>0.40332906499999999</v>
      </c>
      <c r="C389" s="3">
        <v>5</v>
      </c>
      <c r="D389" s="3">
        <v>35</v>
      </c>
      <c r="E389" s="3">
        <v>7.0000000000000007E-2</v>
      </c>
      <c r="F389" s="3">
        <f t="shared" si="82"/>
        <v>3.2944744252340157</v>
      </c>
      <c r="G389" s="5">
        <v>0.35</v>
      </c>
      <c r="H389" s="4">
        <v>35000000</v>
      </c>
      <c r="I389" s="4">
        <f t="shared" si="80"/>
        <v>14116517.275</v>
      </c>
      <c r="J389" s="3">
        <v>210000000000</v>
      </c>
      <c r="K389" s="4">
        <f t="shared" si="81"/>
        <v>8.8170111356309533E-2</v>
      </c>
      <c r="L389" s="6">
        <f t="shared" si="83"/>
        <v>3.0859538974708336</v>
      </c>
      <c r="M389" s="4">
        <f t="shared" si="84"/>
        <v>12507738.483959194</v>
      </c>
      <c r="N389" s="4">
        <f t="shared" si="85"/>
        <v>709295831.18101227</v>
      </c>
      <c r="O389" s="4">
        <f t="shared" si="86"/>
        <v>45619931946.154076</v>
      </c>
      <c r="P389" s="4">
        <f t="shared" si="87"/>
        <v>-4022314479.7596674</v>
      </c>
      <c r="Q389" s="4">
        <f t="shared" si="90"/>
        <v>78380699.810147047</v>
      </c>
      <c r="R389" s="4">
        <f t="shared" si="90"/>
        <v>5041228263.3567581</v>
      </c>
      <c r="S389" s="4">
        <f t="shared" si="90"/>
        <v>-444485657.35274029</v>
      </c>
      <c r="T389" s="3"/>
      <c r="U389" s="4">
        <f t="shared" si="88"/>
        <v>38114596.642500006</v>
      </c>
      <c r="V389">
        <f t="shared" si="89"/>
        <v>691839629299.14331</v>
      </c>
    </row>
    <row r="390" spans="1:22" x14ac:dyDescent="0.5">
      <c r="A390" s="3">
        <v>40</v>
      </c>
      <c r="B390" s="3">
        <v>0.3636363635</v>
      </c>
      <c r="C390" s="3">
        <v>5</v>
      </c>
      <c r="D390" s="3">
        <v>35</v>
      </c>
      <c r="E390" s="3">
        <v>7.0000000000000007E-2</v>
      </c>
      <c r="F390" s="3">
        <f t="shared" si="82"/>
        <v>3.2944744252340157</v>
      </c>
      <c r="G390" s="5">
        <v>0.35</v>
      </c>
      <c r="H390" s="4">
        <v>35000000</v>
      </c>
      <c r="I390" s="4">
        <f t="shared" si="80"/>
        <v>12727272.7225</v>
      </c>
      <c r="J390" s="3">
        <v>210000000000</v>
      </c>
      <c r="K390" s="4">
        <f t="shared" si="81"/>
        <v>8.8170111356309533E-2</v>
      </c>
      <c r="L390" s="6">
        <f t="shared" si="83"/>
        <v>3.0859538974708336</v>
      </c>
      <c r="M390" s="4">
        <f t="shared" si="84"/>
        <v>11179882.201768178</v>
      </c>
      <c r="N390" s="4">
        <f t="shared" si="85"/>
        <v>633995014.28485692</v>
      </c>
      <c r="O390" s="4">
        <f t="shared" si="86"/>
        <v>40776793172.065117</v>
      </c>
      <c r="P390" s="4">
        <f t="shared" si="87"/>
        <v>-3595294394.7341838</v>
      </c>
      <c r="Q390" s="4">
        <f t="shared" si="90"/>
        <v>75300816.896155357</v>
      </c>
      <c r="R390" s="4">
        <f t="shared" si="90"/>
        <v>4843138774.0889587</v>
      </c>
      <c r="S390" s="4">
        <f t="shared" si="90"/>
        <v>-427020085.02548361</v>
      </c>
      <c r="T390" s="3"/>
      <c r="U390" s="4">
        <f t="shared" si="88"/>
        <v>34363636.350749999</v>
      </c>
      <c r="V390">
        <f t="shared" si="89"/>
        <v>691839629299.14331</v>
      </c>
    </row>
    <row r="391" spans="1:22" x14ac:dyDescent="0.5">
      <c r="A391" s="3">
        <v>40</v>
      </c>
      <c r="B391" s="3">
        <v>0.3265044815</v>
      </c>
      <c r="C391" s="3">
        <v>5</v>
      </c>
      <c r="D391" s="3">
        <v>35</v>
      </c>
      <c r="E391" s="3">
        <v>7.0000000000000007E-2</v>
      </c>
      <c r="F391" s="3">
        <f t="shared" si="82"/>
        <v>3.2944744252340157</v>
      </c>
      <c r="G391" s="5">
        <v>0.35</v>
      </c>
      <c r="H391" s="4">
        <v>35000000</v>
      </c>
      <c r="I391" s="4">
        <f t="shared" si="80"/>
        <v>11427656.852499999</v>
      </c>
      <c r="J391" s="3">
        <v>210000000000</v>
      </c>
      <c r="K391" s="4">
        <f t="shared" si="81"/>
        <v>8.8170111356309533E-2</v>
      </c>
      <c r="L391" s="6">
        <f t="shared" si="83"/>
        <v>3.0859538974708336</v>
      </c>
      <c r="M391" s="4">
        <f t="shared" si="84"/>
        <v>9948575.227444008</v>
      </c>
      <c r="N391" s="4">
        <f t="shared" si="85"/>
        <v>564169369.55201423</v>
      </c>
      <c r="O391" s="4">
        <f t="shared" si="86"/>
        <v>36285802219.101669</v>
      </c>
      <c r="P391" s="4">
        <f t="shared" si="87"/>
        <v>-3199323222.3112178</v>
      </c>
      <c r="Q391" s="4">
        <f t="shared" si="90"/>
        <v>69825644.732842684</v>
      </c>
      <c r="R391" s="4">
        <f t="shared" si="90"/>
        <v>4490990952.9634476</v>
      </c>
      <c r="S391" s="4">
        <f t="shared" si="90"/>
        <v>-395971172.422966</v>
      </c>
      <c r="T391" s="3"/>
      <c r="U391" s="4">
        <f t="shared" si="88"/>
        <v>30854673.50175</v>
      </c>
      <c r="V391">
        <f t="shared" si="89"/>
        <v>691839629299.14331</v>
      </c>
    </row>
    <row r="392" spans="1:22" x14ac:dyDescent="0.5">
      <c r="A392" s="3">
        <v>40</v>
      </c>
      <c r="B392" s="3">
        <v>0.28617157500000001</v>
      </c>
      <c r="C392" s="3">
        <v>5</v>
      </c>
      <c r="D392" s="3">
        <v>35</v>
      </c>
      <c r="E392" s="3">
        <v>7.0000000000000007E-2</v>
      </c>
      <c r="F392" s="3">
        <f t="shared" si="82"/>
        <v>3.2944744252340157</v>
      </c>
      <c r="G392" s="5">
        <v>0.35</v>
      </c>
      <c r="H392" s="4">
        <v>35000000</v>
      </c>
      <c r="I392" s="4">
        <f t="shared" si="80"/>
        <v>10016005.125</v>
      </c>
      <c r="J392" s="3">
        <v>210000000000</v>
      </c>
      <c r="K392" s="4">
        <f t="shared" si="81"/>
        <v>8.8170111356309533E-2</v>
      </c>
      <c r="L392" s="6">
        <f t="shared" si="83"/>
        <v>3.0859538974708336</v>
      </c>
      <c r="M392" s="4">
        <f t="shared" si="84"/>
        <v>8624349.4944823552</v>
      </c>
      <c r="N392" s="4">
        <f t="shared" si="85"/>
        <v>489074435.87260413</v>
      </c>
      <c r="O392" s="4">
        <f t="shared" si="86"/>
        <v>31455905279.976181</v>
      </c>
      <c r="P392" s="4">
        <f t="shared" si="87"/>
        <v>-2773470671.3490248</v>
      </c>
      <c r="Q392" s="4">
        <f t="shared" si="90"/>
        <v>75094933.6794101</v>
      </c>
      <c r="R392" s="4">
        <f t="shared" si="90"/>
        <v>4829896939.1254883</v>
      </c>
      <c r="S392" s="4">
        <f t="shared" si="90"/>
        <v>-425852550.96219301</v>
      </c>
      <c r="T392" s="3"/>
      <c r="U392" s="4">
        <f t="shared" si="88"/>
        <v>27043213.837500002</v>
      </c>
      <c r="V392">
        <f t="shared" si="89"/>
        <v>691839629299.14331</v>
      </c>
    </row>
    <row r="393" spans="1:22" x14ac:dyDescent="0.5">
      <c r="A393" s="3">
        <v>40</v>
      </c>
      <c r="B393" s="3">
        <v>0.24615877050000001</v>
      </c>
      <c r="C393" s="3">
        <v>5</v>
      </c>
      <c r="D393" s="3">
        <v>35</v>
      </c>
      <c r="E393" s="3">
        <v>7.0000000000000007E-2</v>
      </c>
      <c r="F393" s="3">
        <f t="shared" si="82"/>
        <v>3.2944744252340157</v>
      </c>
      <c r="G393" s="5">
        <v>0.35</v>
      </c>
      <c r="H393" s="4">
        <v>35000000</v>
      </c>
      <c r="I393" s="4">
        <f t="shared" si="80"/>
        <v>8615556.9675000012</v>
      </c>
      <c r="J393" s="3">
        <v>210000000000</v>
      </c>
      <c r="K393" s="4">
        <f t="shared" si="81"/>
        <v>8.8170111356309533E-2</v>
      </c>
      <c r="L393" s="6">
        <f t="shared" si="83"/>
        <v>3.0859538974708336</v>
      </c>
      <c r="M393" s="4">
        <f t="shared" si="84"/>
        <v>7325954.8250948498</v>
      </c>
      <c r="N393" s="4">
        <f t="shared" si="85"/>
        <v>415444344.59708768</v>
      </c>
      <c r="O393" s="4">
        <f t="shared" si="86"/>
        <v>26720222923.595661</v>
      </c>
      <c r="P393" s="4">
        <f t="shared" si="87"/>
        <v>-2355925030.6388445</v>
      </c>
      <c r="Q393" s="4">
        <f t="shared" si="90"/>
        <v>73630091.27551645</v>
      </c>
      <c r="R393" s="4">
        <f t="shared" si="90"/>
        <v>4735682356.3805199</v>
      </c>
      <c r="S393" s="4">
        <f t="shared" si="90"/>
        <v>-417545640.71018028</v>
      </c>
      <c r="T393" s="3"/>
      <c r="U393" s="4">
        <f t="shared" si="88"/>
        <v>23262003.812250003</v>
      </c>
      <c r="V393">
        <f t="shared" si="89"/>
        <v>691839629299.14331</v>
      </c>
    </row>
    <row r="394" spans="1:22" x14ac:dyDescent="0.5">
      <c r="A394" s="3">
        <v>40</v>
      </c>
      <c r="B394" s="3">
        <v>0.20998719599999999</v>
      </c>
      <c r="C394" s="3">
        <v>5</v>
      </c>
      <c r="D394" s="3">
        <v>35</v>
      </c>
      <c r="E394" s="3">
        <v>7.0000000000000007E-2</v>
      </c>
      <c r="F394" s="3">
        <f t="shared" si="82"/>
        <v>3.2944744252340157</v>
      </c>
      <c r="G394" s="5">
        <v>0.35</v>
      </c>
      <c r="H394" s="4">
        <v>35000000</v>
      </c>
      <c r="I394" s="4">
        <f t="shared" si="80"/>
        <v>7349551.8599999994</v>
      </c>
      <c r="J394" s="3">
        <v>210000000000</v>
      </c>
      <c r="K394" s="4">
        <f t="shared" si="81"/>
        <v>8.8170111356309533E-2</v>
      </c>
      <c r="L394" s="6">
        <f t="shared" si="83"/>
        <v>3.0859538974708336</v>
      </c>
      <c r="M394" s="4">
        <f t="shared" si="84"/>
        <v>6167225.9724193206</v>
      </c>
      <c r="N394" s="4">
        <f t="shared" si="85"/>
        <v>349734500.58924013</v>
      </c>
      <c r="O394" s="4">
        <f t="shared" si="86"/>
        <v>22493948807.703674</v>
      </c>
      <c r="P394" s="4">
        <f t="shared" si="87"/>
        <v>-1983293971.218359</v>
      </c>
      <c r="Q394" s="4">
        <f t="shared" si="90"/>
        <v>65709844.007847548</v>
      </c>
      <c r="R394" s="4">
        <f t="shared" si="90"/>
        <v>4226274115.8919868</v>
      </c>
      <c r="S394" s="4">
        <f t="shared" si="90"/>
        <v>-372631059.4204855</v>
      </c>
      <c r="T394" s="3"/>
      <c r="U394" s="4">
        <f t="shared" si="88"/>
        <v>19843790.022</v>
      </c>
      <c r="V394">
        <f t="shared" si="89"/>
        <v>691839629299.14331</v>
      </c>
    </row>
    <row r="395" spans="1:22" x14ac:dyDescent="0.5">
      <c r="A395" s="3">
        <v>40</v>
      </c>
      <c r="B395" s="3">
        <v>0.16997439149999999</v>
      </c>
      <c r="C395" s="3">
        <v>5</v>
      </c>
      <c r="D395" s="3">
        <v>35</v>
      </c>
      <c r="E395" s="3">
        <v>7.0000000000000007E-2</v>
      </c>
      <c r="F395" s="3">
        <f t="shared" si="82"/>
        <v>3.2944744252340157</v>
      </c>
      <c r="G395" s="5">
        <v>0.35</v>
      </c>
      <c r="H395" s="4">
        <v>35000000</v>
      </c>
      <c r="I395" s="4">
        <f t="shared" si="80"/>
        <v>5949103.7024999997</v>
      </c>
      <c r="J395" s="3">
        <v>210000000000</v>
      </c>
      <c r="K395" s="4">
        <f t="shared" si="81"/>
        <v>8.8170111356309533E-2</v>
      </c>
      <c r="L395" s="6">
        <f t="shared" si="83"/>
        <v>3.0859538974708336</v>
      </c>
      <c r="M395" s="4">
        <f t="shared" si="84"/>
        <v>4904895.5755768754</v>
      </c>
      <c r="N395" s="4">
        <f t="shared" si="85"/>
        <v>278149562.25672704</v>
      </c>
      <c r="O395" s="4">
        <f t="shared" si="86"/>
        <v>17889804991.348045</v>
      </c>
      <c r="P395" s="4">
        <f t="shared" si="87"/>
        <v>-1577346098.2298195</v>
      </c>
      <c r="Q395" s="4">
        <f t="shared" si="90"/>
        <v>71584938.332513094</v>
      </c>
      <c r="R395" s="4">
        <f t="shared" si="90"/>
        <v>4604143816.355629</v>
      </c>
      <c r="S395" s="4">
        <f t="shared" si="90"/>
        <v>-405947872.98853946</v>
      </c>
      <c r="T395" s="3"/>
      <c r="U395" s="4">
        <f t="shared" si="88"/>
        <v>16062579.996750001</v>
      </c>
      <c r="V395">
        <f t="shared" si="89"/>
        <v>691839629299.14331</v>
      </c>
    </row>
    <row r="396" spans="1:22" x14ac:dyDescent="0.5">
      <c r="A396" s="3">
        <v>40</v>
      </c>
      <c r="B396" s="3">
        <v>0.14308578750000001</v>
      </c>
      <c r="C396" s="3">
        <v>5</v>
      </c>
      <c r="D396" s="3">
        <v>35</v>
      </c>
      <c r="E396" s="3">
        <v>7.0000000000000007E-2</v>
      </c>
      <c r="F396" s="3">
        <f t="shared" si="82"/>
        <v>3.2944744252340157</v>
      </c>
      <c r="G396" s="5">
        <v>0.35</v>
      </c>
      <c r="H396" s="4">
        <v>35000000</v>
      </c>
      <c r="I396" s="4">
        <f t="shared" si="80"/>
        <v>5008002.5625</v>
      </c>
      <c r="J396" s="3">
        <v>210000000000</v>
      </c>
      <c r="K396" s="4">
        <f t="shared" si="81"/>
        <v>8.8170111356309533E-2</v>
      </c>
      <c r="L396" s="6">
        <f t="shared" si="83"/>
        <v>3.0859538974708336</v>
      </c>
      <c r="M396" s="4">
        <f t="shared" si="84"/>
        <v>4070150.9757156214</v>
      </c>
      <c r="N396" s="4">
        <f t="shared" si="85"/>
        <v>230812398.5047206</v>
      </c>
      <c r="O396" s="4">
        <f t="shared" si="86"/>
        <v>14845210487.958984</v>
      </c>
      <c r="P396" s="4">
        <f t="shared" si="87"/>
        <v>-1308903861.831198</v>
      </c>
      <c r="Q396" s="4">
        <f t="shared" si="90"/>
        <v>47337163.752006441</v>
      </c>
      <c r="R396" s="4">
        <f t="shared" si="90"/>
        <v>3044594503.389061</v>
      </c>
      <c r="S396" s="4">
        <f t="shared" si="90"/>
        <v>-268442236.39862156</v>
      </c>
      <c r="T396" s="3"/>
      <c r="U396" s="4">
        <f t="shared" si="88"/>
        <v>13521606.918750001</v>
      </c>
      <c r="V396">
        <f t="shared" si="89"/>
        <v>691839629299.14331</v>
      </c>
    </row>
    <row r="397" spans="1:22" x14ac:dyDescent="0.5">
      <c r="A397" s="3">
        <v>40</v>
      </c>
      <c r="B397" s="3">
        <v>0.1190781045</v>
      </c>
      <c r="C397" s="3">
        <v>5</v>
      </c>
      <c r="D397" s="3">
        <v>35</v>
      </c>
      <c r="E397" s="3">
        <v>7.0000000000000007E-2</v>
      </c>
      <c r="F397" s="3">
        <f t="shared" si="82"/>
        <v>3.2944744252340157</v>
      </c>
      <c r="G397" s="5">
        <v>0.35</v>
      </c>
      <c r="H397" s="4">
        <v>35000000</v>
      </c>
      <c r="I397" s="4">
        <f t="shared" si="80"/>
        <v>4167733.6575000002</v>
      </c>
      <c r="J397" s="3">
        <v>210000000000</v>
      </c>
      <c r="K397" s="4">
        <f t="shared" si="81"/>
        <v>8.8170111356309533E-2</v>
      </c>
      <c r="L397" s="6">
        <f t="shared" si="83"/>
        <v>3.0859538974708336</v>
      </c>
      <c r="M397" s="4">
        <f t="shared" si="84"/>
        <v>3335791.4024972231</v>
      </c>
      <c r="N397" s="4">
        <f t="shared" si="85"/>
        <v>189167925.0022015</v>
      </c>
      <c r="O397" s="4">
        <f t="shared" si="86"/>
        <v>12166753963.048851</v>
      </c>
      <c r="P397" s="4">
        <f t="shared" si="87"/>
        <v>-1072744051.7668376</v>
      </c>
      <c r="Q397" s="4">
        <f t="shared" si="90"/>
        <v>41644473.502519101</v>
      </c>
      <c r="R397" s="4">
        <f t="shared" si="90"/>
        <v>2678456524.9101334</v>
      </c>
      <c r="S397" s="4">
        <f t="shared" si="90"/>
        <v>-236159810.06436038</v>
      </c>
      <c r="T397" s="3"/>
      <c r="U397" s="4">
        <f t="shared" si="88"/>
        <v>11252880.875250001</v>
      </c>
      <c r="V397">
        <f t="shared" si="89"/>
        <v>691839629299.14331</v>
      </c>
    </row>
    <row r="398" spans="1:22" x14ac:dyDescent="0.5">
      <c r="A398" s="3">
        <v>45</v>
      </c>
      <c r="B398" s="3">
        <v>1</v>
      </c>
      <c r="C398" s="3">
        <v>5</v>
      </c>
      <c r="D398" s="3">
        <v>40</v>
      </c>
      <c r="E398" s="3">
        <v>7.0000000000000007E-2</v>
      </c>
      <c r="F398" s="3">
        <f t="shared" si="82"/>
        <v>3.2944744252340157</v>
      </c>
      <c r="G398" s="5">
        <v>0.35</v>
      </c>
      <c r="H398" s="4">
        <v>35000000</v>
      </c>
      <c r="I398" s="4">
        <f>B398*$H$398</f>
        <v>35000000</v>
      </c>
      <c r="J398" s="3">
        <v>210000000000</v>
      </c>
      <c r="K398" s="4">
        <f>(($M$398*C398)/(4*J398*F398))^(1/4)</f>
        <v>8.8170111356309533E-2</v>
      </c>
      <c r="L398" s="6">
        <f t="shared" si="83"/>
        <v>3.5268044542523813</v>
      </c>
      <c r="M398" s="4">
        <f t="shared" si="84"/>
        <v>33448833.707163259</v>
      </c>
      <c r="N398" s="4">
        <f t="shared" si="85"/>
        <v>1896835174.223109</v>
      </c>
      <c r="O398" s="4">
        <f t="shared" si="86"/>
        <v>121999154312.02667</v>
      </c>
      <c r="P398" s="4">
        <f t="shared" si="87"/>
        <v>-10756679021.066984</v>
      </c>
      <c r="Q398" s="4">
        <f>N398</f>
        <v>1896835174.223109</v>
      </c>
      <c r="R398" s="4">
        <f t="shared" ref="R398:S398" si="91">O398</f>
        <v>121999154312.02667</v>
      </c>
      <c r="S398" s="4">
        <f t="shared" si="91"/>
        <v>-10756679021.066984</v>
      </c>
      <c r="T398" s="3"/>
      <c r="U398" s="4">
        <f t="shared" si="88"/>
        <v>94500000</v>
      </c>
      <c r="V398">
        <f t="shared" si="89"/>
        <v>691839629299.14331</v>
      </c>
    </row>
    <row r="399" spans="1:22" x14ac:dyDescent="0.5">
      <c r="A399" s="3">
        <v>45</v>
      </c>
      <c r="B399" s="3">
        <v>1</v>
      </c>
      <c r="C399" s="3">
        <v>5</v>
      </c>
      <c r="D399" s="3">
        <v>40</v>
      </c>
      <c r="E399" s="3">
        <v>7.0000000000000007E-2</v>
      </c>
      <c r="F399" s="3">
        <f t="shared" si="82"/>
        <v>3.2944744252340157</v>
      </c>
      <c r="G399" s="5">
        <v>0.35</v>
      </c>
      <c r="H399" s="4">
        <v>35000000</v>
      </c>
      <c r="I399" s="4">
        <f t="shared" ref="I399:I441" si="92">B399*$H$398</f>
        <v>35000000</v>
      </c>
      <c r="J399" s="3">
        <v>210000000000</v>
      </c>
      <c r="K399" s="4">
        <f t="shared" ref="K399:K441" si="93">(($M$398*C399)/(4*J399*F399))^(1/4)</f>
        <v>8.8170111356309533E-2</v>
      </c>
      <c r="L399" s="6">
        <f t="shared" si="83"/>
        <v>3.5268044542523813</v>
      </c>
      <c r="M399" s="4">
        <f t="shared" si="84"/>
        <v>33448833.707163259</v>
      </c>
      <c r="N399" s="4">
        <f t="shared" si="85"/>
        <v>1896835174.223109</v>
      </c>
      <c r="O399" s="4">
        <f t="shared" si="86"/>
        <v>121999154312.02667</v>
      </c>
      <c r="P399" s="4">
        <f t="shared" si="87"/>
        <v>-10756679021.066984</v>
      </c>
      <c r="Q399" s="4">
        <f t="shared" si="90"/>
        <v>0</v>
      </c>
      <c r="R399" s="4">
        <f t="shared" si="90"/>
        <v>0</v>
      </c>
      <c r="S399" s="4">
        <f t="shared" si="90"/>
        <v>0</v>
      </c>
      <c r="T399" s="3"/>
      <c r="U399" s="4">
        <f t="shared" si="88"/>
        <v>94500000</v>
      </c>
      <c r="V399">
        <f t="shared" si="89"/>
        <v>691839629299.14331</v>
      </c>
    </row>
    <row r="400" spans="1:22" x14ac:dyDescent="0.5">
      <c r="A400" s="3">
        <v>45</v>
      </c>
      <c r="B400" s="3">
        <v>1</v>
      </c>
      <c r="C400" s="3">
        <v>5</v>
      </c>
      <c r="D400" s="3">
        <v>40</v>
      </c>
      <c r="E400" s="3">
        <v>7.0000000000000007E-2</v>
      </c>
      <c r="F400" s="3">
        <f t="shared" si="82"/>
        <v>3.2944744252340157</v>
      </c>
      <c r="G400" s="5">
        <v>0.35</v>
      </c>
      <c r="H400" s="4">
        <v>35000000</v>
      </c>
      <c r="I400" s="4">
        <f t="shared" si="92"/>
        <v>35000000</v>
      </c>
      <c r="J400" s="3">
        <v>210000000000</v>
      </c>
      <c r="K400" s="4">
        <f t="shared" si="93"/>
        <v>8.8170111356309533E-2</v>
      </c>
      <c r="L400" s="6">
        <f t="shared" si="83"/>
        <v>3.5268044542523813</v>
      </c>
      <c r="M400" s="4">
        <f t="shared" si="84"/>
        <v>33448833.707163259</v>
      </c>
      <c r="N400" s="4">
        <f t="shared" si="85"/>
        <v>1896835174.223109</v>
      </c>
      <c r="O400" s="4">
        <f t="shared" si="86"/>
        <v>121999154312.02667</v>
      </c>
      <c r="P400" s="4">
        <f t="shared" si="87"/>
        <v>-10756679021.066984</v>
      </c>
      <c r="Q400" s="4">
        <f t="shared" si="90"/>
        <v>0</v>
      </c>
      <c r="R400" s="4">
        <f t="shared" si="90"/>
        <v>0</v>
      </c>
      <c r="S400" s="4">
        <f t="shared" si="90"/>
        <v>0</v>
      </c>
      <c r="T400" s="3"/>
      <c r="U400" s="4">
        <f t="shared" si="88"/>
        <v>94500000</v>
      </c>
      <c r="V400">
        <f t="shared" si="89"/>
        <v>691839629299.14331</v>
      </c>
    </row>
    <row r="401" spans="1:22" x14ac:dyDescent="0.5">
      <c r="A401" s="3">
        <v>45</v>
      </c>
      <c r="B401" s="3">
        <v>1</v>
      </c>
      <c r="C401" s="3">
        <v>5</v>
      </c>
      <c r="D401" s="3">
        <v>40</v>
      </c>
      <c r="E401" s="3">
        <v>7.0000000000000007E-2</v>
      </c>
      <c r="F401" s="3">
        <f t="shared" si="82"/>
        <v>3.2944744252340157</v>
      </c>
      <c r="G401" s="5">
        <v>0.35</v>
      </c>
      <c r="H401" s="4">
        <v>35000000</v>
      </c>
      <c r="I401" s="4">
        <f t="shared" si="92"/>
        <v>35000000</v>
      </c>
      <c r="J401" s="3">
        <v>210000000000</v>
      </c>
      <c r="K401" s="4">
        <f t="shared" si="93"/>
        <v>8.8170111356309533E-2</v>
      </c>
      <c r="L401" s="6">
        <f t="shared" si="83"/>
        <v>3.5268044542523813</v>
      </c>
      <c r="M401" s="4">
        <f t="shared" si="84"/>
        <v>33448833.707163259</v>
      </c>
      <c r="N401" s="4">
        <f t="shared" si="85"/>
        <v>1896835174.223109</v>
      </c>
      <c r="O401" s="4">
        <f t="shared" si="86"/>
        <v>121999154312.02667</v>
      </c>
      <c r="P401" s="4">
        <f t="shared" si="87"/>
        <v>-10756679021.066984</v>
      </c>
      <c r="Q401" s="4">
        <f t="shared" si="90"/>
        <v>0</v>
      </c>
      <c r="R401" s="4">
        <f t="shared" si="90"/>
        <v>0</v>
      </c>
      <c r="S401" s="4">
        <f t="shared" si="90"/>
        <v>0</v>
      </c>
      <c r="T401" s="3"/>
      <c r="U401" s="4">
        <f t="shared" si="88"/>
        <v>94500000</v>
      </c>
      <c r="V401">
        <f t="shared" si="89"/>
        <v>691839629299.14331</v>
      </c>
    </row>
    <row r="402" spans="1:22" x14ac:dyDescent="0.5">
      <c r="A402" s="3">
        <v>45</v>
      </c>
      <c r="B402" s="3">
        <v>1</v>
      </c>
      <c r="C402" s="3">
        <v>5</v>
      </c>
      <c r="D402" s="3">
        <v>40</v>
      </c>
      <c r="E402" s="3">
        <v>7.0000000000000007E-2</v>
      </c>
      <c r="F402" s="3">
        <f t="shared" si="82"/>
        <v>3.2944744252340157</v>
      </c>
      <c r="G402" s="5">
        <v>0.35</v>
      </c>
      <c r="H402" s="4">
        <v>35000000</v>
      </c>
      <c r="I402" s="4">
        <f t="shared" si="92"/>
        <v>35000000</v>
      </c>
      <c r="J402" s="3">
        <v>210000000000</v>
      </c>
      <c r="K402" s="4">
        <f t="shared" si="93"/>
        <v>8.8170111356309533E-2</v>
      </c>
      <c r="L402" s="6">
        <f t="shared" si="83"/>
        <v>3.5268044542523813</v>
      </c>
      <c r="M402" s="4">
        <f t="shared" si="84"/>
        <v>33448833.707163259</v>
      </c>
      <c r="N402" s="4">
        <f t="shared" si="85"/>
        <v>1896835174.223109</v>
      </c>
      <c r="O402" s="4">
        <f t="shared" si="86"/>
        <v>121999154312.02667</v>
      </c>
      <c r="P402" s="4">
        <f t="shared" si="87"/>
        <v>-10756679021.066984</v>
      </c>
      <c r="Q402" s="4">
        <f t="shared" si="90"/>
        <v>0</v>
      </c>
      <c r="R402" s="4">
        <f t="shared" si="90"/>
        <v>0</v>
      </c>
      <c r="S402" s="4">
        <f t="shared" si="90"/>
        <v>0</v>
      </c>
      <c r="T402" s="3"/>
      <c r="U402" s="4">
        <f t="shared" si="88"/>
        <v>94500000</v>
      </c>
      <c r="V402">
        <f t="shared" si="89"/>
        <v>691839629299.14331</v>
      </c>
    </row>
    <row r="403" spans="1:22" x14ac:dyDescent="0.5">
      <c r="A403" s="3">
        <v>45</v>
      </c>
      <c r="B403" s="3">
        <v>1</v>
      </c>
      <c r="C403" s="3">
        <v>5</v>
      </c>
      <c r="D403" s="3">
        <v>40</v>
      </c>
      <c r="E403" s="3">
        <v>7.0000000000000007E-2</v>
      </c>
      <c r="F403" s="3">
        <f t="shared" si="82"/>
        <v>3.2944744252340157</v>
      </c>
      <c r="G403" s="5">
        <v>0.35</v>
      </c>
      <c r="H403" s="4">
        <v>35000000</v>
      </c>
      <c r="I403" s="4">
        <f t="shared" si="92"/>
        <v>35000000</v>
      </c>
      <c r="J403" s="3">
        <v>210000000000</v>
      </c>
      <c r="K403" s="4">
        <f t="shared" si="93"/>
        <v>8.8170111356309533E-2</v>
      </c>
      <c r="L403" s="6">
        <f t="shared" si="83"/>
        <v>3.5268044542523813</v>
      </c>
      <c r="M403" s="4">
        <f t="shared" si="84"/>
        <v>33448833.707163259</v>
      </c>
      <c r="N403" s="4">
        <f t="shared" si="85"/>
        <v>1896835174.223109</v>
      </c>
      <c r="O403" s="4">
        <f t="shared" si="86"/>
        <v>121999154312.02667</v>
      </c>
      <c r="P403" s="4">
        <f t="shared" si="87"/>
        <v>-10756679021.066984</v>
      </c>
      <c r="Q403" s="4">
        <f t="shared" si="90"/>
        <v>0</v>
      </c>
      <c r="R403" s="4">
        <f t="shared" si="90"/>
        <v>0</v>
      </c>
      <c r="S403" s="4">
        <f t="shared" si="90"/>
        <v>0</v>
      </c>
      <c r="T403" s="3"/>
      <c r="U403" s="4">
        <f t="shared" si="88"/>
        <v>94500000</v>
      </c>
      <c r="V403">
        <f t="shared" si="89"/>
        <v>691839629299.14331</v>
      </c>
    </row>
    <row r="404" spans="1:22" x14ac:dyDescent="0.5">
      <c r="A404" s="3">
        <v>45</v>
      </c>
      <c r="B404" s="3">
        <v>1</v>
      </c>
      <c r="C404" s="3">
        <v>5</v>
      </c>
      <c r="D404" s="3">
        <v>40</v>
      </c>
      <c r="E404" s="3">
        <v>7.0000000000000007E-2</v>
      </c>
      <c r="F404" s="3">
        <f t="shared" si="82"/>
        <v>3.2944744252340157</v>
      </c>
      <c r="G404" s="5">
        <v>0.35</v>
      </c>
      <c r="H404" s="4">
        <v>35000000</v>
      </c>
      <c r="I404" s="4">
        <f t="shared" si="92"/>
        <v>35000000</v>
      </c>
      <c r="J404" s="3">
        <v>210000000000</v>
      </c>
      <c r="K404" s="4">
        <f t="shared" si="93"/>
        <v>8.8170111356309533E-2</v>
      </c>
      <c r="L404" s="6">
        <f t="shared" si="83"/>
        <v>3.5268044542523813</v>
      </c>
      <c r="M404" s="4">
        <f t="shared" si="84"/>
        <v>33448833.707163259</v>
      </c>
      <c r="N404" s="4">
        <f t="shared" si="85"/>
        <v>1896835174.223109</v>
      </c>
      <c r="O404" s="4">
        <f t="shared" si="86"/>
        <v>121999154312.02667</v>
      </c>
      <c r="P404" s="4">
        <f t="shared" si="87"/>
        <v>-10756679021.066984</v>
      </c>
      <c r="Q404" s="4">
        <f t="shared" si="90"/>
        <v>0</v>
      </c>
      <c r="R404" s="4">
        <f t="shared" si="90"/>
        <v>0</v>
      </c>
      <c r="S404" s="4">
        <f t="shared" si="90"/>
        <v>0</v>
      </c>
      <c r="T404" s="3"/>
      <c r="U404" s="4">
        <f t="shared" si="88"/>
        <v>94500000</v>
      </c>
      <c r="V404">
        <f t="shared" si="89"/>
        <v>691839629299.14331</v>
      </c>
    </row>
    <row r="405" spans="1:22" x14ac:dyDescent="0.5">
      <c r="A405" s="3">
        <v>45</v>
      </c>
      <c r="B405" s="3">
        <v>1</v>
      </c>
      <c r="C405" s="3">
        <v>5</v>
      </c>
      <c r="D405" s="3">
        <v>40</v>
      </c>
      <c r="E405" s="3">
        <v>7.0000000000000007E-2</v>
      </c>
      <c r="F405" s="3">
        <f t="shared" si="82"/>
        <v>3.2944744252340157</v>
      </c>
      <c r="G405" s="5">
        <v>0.35</v>
      </c>
      <c r="H405" s="4">
        <v>35000000</v>
      </c>
      <c r="I405" s="4">
        <f t="shared" si="92"/>
        <v>35000000</v>
      </c>
      <c r="J405" s="3">
        <v>210000000000</v>
      </c>
      <c r="K405" s="4">
        <f t="shared" si="93"/>
        <v>8.8170111356309533E-2</v>
      </c>
      <c r="L405" s="6">
        <f t="shared" si="83"/>
        <v>3.5268044542523813</v>
      </c>
      <c r="M405" s="4">
        <f t="shared" si="84"/>
        <v>33448833.707163259</v>
      </c>
      <c r="N405" s="4">
        <f t="shared" si="85"/>
        <v>1896835174.223109</v>
      </c>
      <c r="O405" s="4">
        <f t="shared" si="86"/>
        <v>121999154312.02667</v>
      </c>
      <c r="P405" s="4">
        <f t="shared" si="87"/>
        <v>-10756679021.066984</v>
      </c>
      <c r="Q405" s="4">
        <f t="shared" si="90"/>
        <v>0</v>
      </c>
      <c r="R405" s="4">
        <f t="shared" si="90"/>
        <v>0</v>
      </c>
      <c r="S405" s="4">
        <f t="shared" si="90"/>
        <v>0</v>
      </c>
      <c r="T405" s="3"/>
      <c r="U405" s="4">
        <f t="shared" si="88"/>
        <v>94500000</v>
      </c>
      <c r="V405">
        <f t="shared" si="89"/>
        <v>691839629299.14331</v>
      </c>
    </row>
    <row r="406" spans="1:22" x14ac:dyDescent="0.5">
      <c r="A406" s="3">
        <v>45</v>
      </c>
      <c r="B406" s="3">
        <v>1</v>
      </c>
      <c r="C406" s="3">
        <v>5</v>
      </c>
      <c r="D406" s="3">
        <v>40</v>
      </c>
      <c r="E406" s="3">
        <v>7.0000000000000007E-2</v>
      </c>
      <c r="F406" s="3">
        <f t="shared" si="82"/>
        <v>3.2944744252340157</v>
      </c>
      <c r="G406" s="5">
        <v>0.35</v>
      </c>
      <c r="H406" s="4">
        <v>35000000</v>
      </c>
      <c r="I406" s="4">
        <f t="shared" si="92"/>
        <v>35000000</v>
      </c>
      <c r="J406" s="3">
        <v>210000000000</v>
      </c>
      <c r="K406" s="4">
        <f t="shared" si="93"/>
        <v>8.8170111356309533E-2</v>
      </c>
      <c r="L406" s="6">
        <f t="shared" si="83"/>
        <v>3.5268044542523813</v>
      </c>
      <c r="M406" s="4">
        <f t="shared" si="84"/>
        <v>33448833.707163259</v>
      </c>
      <c r="N406" s="4">
        <f t="shared" si="85"/>
        <v>1896835174.223109</v>
      </c>
      <c r="O406" s="4">
        <f t="shared" si="86"/>
        <v>121999154312.02667</v>
      </c>
      <c r="P406" s="4">
        <f t="shared" si="87"/>
        <v>-10756679021.066984</v>
      </c>
      <c r="Q406" s="4">
        <f t="shared" si="90"/>
        <v>0</v>
      </c>
      <c r="R406" s="4">
        <f t="shared" si="90"/>
        <v>0</v>
      </c>
      <c r="S406" s="4">
        <f t="shared" si="90"/>
        <v>0</v>
      </c>
      <c r="T406" s="3"/>
      <c r="U406" s="4">
        <f t="shared" si="88"/>
        <v>94500000</v>
      </c>
      <c r="V406">
        <f t="shared" si="89"/>
        <v>691839629299.14331</v>
      </c>
    </row>
    <row r="407" spans="1:22" x14ac:dyDescent="0.5">
      <c r="A407" s="3">
        <v>45</v>
      </c>
      <c r="B407" s="3">
        <v>1</v>
      </c>
      <c r="C407" s="3">
        <v>5</v>
      </c>
      <c r="D407" s="3">
        <v>40</v>
      </c>
      <c r="E407" s="3">
        <v>7.0000000000000007E-2</v>
      </c>
      <c r="F407" s="3">
        <f t="shared" si="82"/>
        <v>3.2944744252340157</v>
      </c>
      <c r="G407" s="5">
        <v>0.35</v>
      </c>
      <c r="H407" s="4">
        <v>35000000</v>
      </c>
      <c r="I407" s="4">
        <f t="shared" si="92"/>
        <v>35000000</v>
      </c>
      <c r="J407" s="3">
        <v>210000000000</v>
      </c>
      <c r="K407" s="4">
        <f t="shared" si="93"/>
        <v>8.8170111356309533E-2</v>
      </c>
      <c r="L407" s="6">
        <f t="shared" si="83"/>
        <v>3.5268044542523813</v>
      </c>
      <c r="M407" s="4">
        <f t="shared" si="84"/>
        <v>33448833.707163259</v>
      </c>
      <c r="N407" s="4">
        <f t="shared" si="85"/>
        <v>1896835174.223109</v>
      </c>
      <c r="O407" s="4">
        <f t="shared" si="86"/>
        <v>121999154312.02667</v>
      </c>
      <c r="P407" s="4">
        <f t="shared" si="87"/>
        <v>-10756679021.066984</v>
      </c>
      <c r="Q407" s="4">
        <f t="shared" si="90"/>
        <v>0</v>
      </c>
      <c r="R407" s="4">
        <f t="shared" si="90"/>
        <v>0</v>
      </c>
      <c r="S407" s="4">
        <f t="shared" si="90"/>
        <v>0</v>
      </c>
      <c r="T407" s="3"/>
      <c r="U407" s="4">
        <f t="shared" si="88"/>
        <v>94500000</v>
      </c>
      <c r="V407">
        <f t="shared" si="89"/>
        <v>691839629299.14331</v>
      </c>
    </row>
    <row r="408" spans="1:22" x14ac:dyDescent="0.5">
      <c r="A408" s="3">
        <v>45</v>
      </c>
      <c r="B408" s="3">
        <v>1</v>
      </c>
      <c r="C408" s="3">
        <v>5</v>
      </c>
      <c r="D408" s="3">
        <v>40</v>
      </c>
      <c r="E408" s="3">
        <v>7.0000000000000007E-2</v>
      </c>
      <c r="F408" s="3">
        <f t="shared" si="82"/>
        <v>3.2944744252340157</v>
      </c>
      <c r="G408" s="5">
        <v>0.35</v>
      </c>
      <c r="H408" s="4">
        <v>35000000</v>
      </c>
      <c r="I408" s="4">
        <f t="shared" si="92"/>
        <v>35000000</v>
      </c>
      <c r="J408" s="3">
        <v>210000000000</v>
      </c>
      <c r="K408" s="4">
        <f t="shared" si="93"/>
        <v>8.8170111356309533E-2</v>
      </c>
      <c r="L408" s="6">
        <f t="shared" si="83"/>
        <v>3.5268044542523813</v>
      </c>
      <c r="M408" s="4">
        <f t="shared" si="84"/>
        <v>33448833.707163259</v>
      </c>
      <c r="N408" s="4">
        <f t="shared" si="85"/>
        <v>1896835174.223109</v>
      </c>
      <c r="O408" s="4">
        <f t="shared" si="86"/>
        <v>121999154312.02667</v>
      </c>
      <c r="P408" s="4">
        <f t="shared" si="87"/>
        <v>-10756679021.066984</v>
      </c>
      <c r="Q408" s="4">
        <f t="shared" si="90"/>
        <v>0</v>
      </c>
      <c r="R408" s="4">
        <f t="shared" si="90"/>
        <v>0</v>
      </c>
      <c r="S408" s="4">
        <f t="shared" si="90"/>
        <v>0</v>
      </c>
      <c r="T408" s="3"/>
      <c r="U408" s="4">
        <f t="shared" si="88"/>
        <v>94500000</v>
      </c>
      <c r="V408">
        <f t="shared" si="89"/>
        <v>691839629299.14331</v>
      </c>
    </row>
    <row r="409" spans="1:22" x14ac:dyDescent="0.5">
      <c r="A409" s="3">
        <v>45</v>
      </c>
      <c r="B409" s="3">
        <v>1</v>
      </c>
      <c r="C409" s="3">
        <v>5</v>
      </c>
      <c r="D409" s="3">
        <v>40</v>
      </c>
      <c r="E409" s="3">
        <v>7.0000000000000007E-2</v>
      </c>
      <c r="F409" s="3">
        <f t="shared" si="82"/>
        <v>3.2944744252340157</v>
      </c>
      <c r="G409" s="5">
        <v>0.35</v>
      </c>
      <c r="H409" s="4">
        <v>35000000</v>
      </c>
      <c r="I409" s="4">
        <f t="shared" si="92"/>
        <v>35000000</v>
      </c>
      <c r="J409" s="3">
        <v>210000000000</v>
      </c>
      <c r="K409" s="4">
        <f t="shared" si="93"/>
        <v>8.8170111356309533E-2</v>
      </c>
      <c r="L409" s="6">
        <f t="shared" si="83"/>
        <v>3.5268044542523813</v>
      </c>
      <c r="M409" s="4">
        <f t="shared" si="84"/>
        <v>33448833.707163259</v>
      </c>
      <c r="N409" s="4">
        <f t="shared" si="85"/>
        <v>1896835174.223109</v>
      </c>
      <c r="O409" s="4">
        <f t="shared" si="86"/>
        <v>121999154312.02667</v>
      </c>
      <c r="P409" s="4">
        <f t="shared" si="87"/>
        <v>-10756679021.066984</v>
      </c>
      <c r="Q409" s="4">
        <f t="shared" si="90"/>
        <v>0</v>
      </c>
      <c r="R409" s="4">
        <f t="shared" si="90"/>
        <v>0</v>
      </c>
      <c r="S409" s="4">
        <f t="shared" si="90"/>
        <v>0</v>
      </c>
      <c r="T409" s="3"/>
      <c r="U409" s="4">
        <f t="shared" si="88"/>
        <v>94500000</v>
      </c>
      <c r="V409">
        <f t="shared" si="89"/>
        <v>691839629299.14331</v>
      </c>
    </row>
    <row r="410" spans="1:22" x14ac:dyDescent="0.5">
      <c r="A410" s="3">
        <v>45</v>
      </c>
      <c r="B410" s="3">
        <v>1</v>
      </c>
      <c r="C410" s="3">
        <v>5</v>
      </c>
      <c r="D410" s="3">
        <v>40</v>
      </c>
      <c r="E410" s="3">
        <v>7.0000000000000007E-2</v>
      </c>
      <c r="F410" s="3">
        <f t="shared" si="82"/>
        <v>3.2944744252340157</v>
      </c>
      <c r="G410" s="5">
        <v>0.35</v>
      </c>
      <c r="H410" s="4">
        <v>35000000</v>
      </c>
      <c r="I410" s="4">
        <f t="shared" si="92"/>
        <v>35000000</v>
      </c>
      <c r="J410" s="3">
        <v>210000000000</v>
      </c>
      <c r="K410" s="4">
        <f t="shared" si="93"/>
        <v>8.8170111356309533E-2</v>
      </c>
      <c r="L410" s="6">
        <f t="shared" si="83"/>
        <v>3.5268044542523813</v>
      </c>
      <c r="M410" s="4">
        <f t="shared" si="84"/>
        <v>33448833.707163259</v>
      </c>
      <c r="N410" s="4">
        <f t="shared" si="85"/>
        <v>1896835174.223109</v>
      </c>
      <c r="O410" s="4">
        <f t="shared" si="86"/>
        <v>121999154312.02667</v>
      </c>
      <c r="P410" s="4">
        <f t="shared" si="87"/>
        <v>-10756679021.066984</v>
      </c>
      <c r="Q410" s="4">
        <f t="shared" si="90"/>
        <v>0</v>
      </c>
      <c r="R410" s="4">
        <f t="shared" si="90"/>
        <v>0</v>
      </c>
      <c r="S410" s="4">
        <f t="shared" si="90"/>
        <v>0</v>
      </c>
      <c r="T410" s="3"/>
      <c r="U410" s="4">
        <f t="shared" si="88"/>
        <v>94500000</v>
      </c>
      <c r="V410">
        <f t="shared" si="89"/>
        <v>691839629299.14331</v>
      </c>
    </row>
    <row r="411" spans="1:22" x14ac:dyDescent="0.5">
      <c r="A411" s="3">
        <v>45</v>
      </c>
      <c r="B411" s="3">
        <v>1</v>
      </c>
      <c r="C411" s="3">
        <v>5</v>
      </c>
      <c r="D411" s="3">
        <v>40</v>
      </c>
      <c r="E411" s="3">
        <v>7.0000000000000007E-2</v>
      </c>
      <c r="F411" s="3">
        <f t="shared" si="82"/>
        <v>3.2944744252340157</v>
      </c>
      <c r="G411" s="5">
        <v>0.35</v>
      </c>
      <c r="H411" s="4">
        <v>35000000</v>
      </c>
      <c r="I411" s="4">
        <f t="shared" si="92"/>
        <v>35000000</v>
      </c>
      <c r="J411" s="3">
        <v>210000000000</v>
      </c>
      <c r="K411" s="4">
        <f t="shared" si="93"/>
        <v>8.8170111356309533E-2</v>
      </c>
      <c r="L411" s="6">
        <f t="shared" si="83"/>
        <v>3.5268044542523813</v>
      </c>
      <c r="M411" s="4">
        <f t="shared" si="84"/>
        <v>33448833.707163259</v>
      </c>
      <c r="N411" s="4">
        <f t="shared" si="85"/>
        <v>1896835174.223109</v>
      </c>
      <c r="O411" s="4">
        <f t="shared" si="86"/>
        <v>121999154312.02667</v>
      </c>
      <c r="P411" s="4">
        <f t="shared" si="87"/>
        <v>-10756679021.066984</v>
      </c>
      <c r="Q411" s="4">
        <f t="shared" si="90"/>
        <v>0</v>
      </c>
      <c r="R411" s="4">
        <f t="shared" si="90"/>
        <v>0</v>
      </c>
      <c r="S411" s="4">
        <f t="shared" si="90"/>
        <v>0</v>
      </c>
      <c r="T411" s="3"/>
      <c r="U411" s="4">
        <f t="shared" si="88"/>
        <v>94500000</v>
      </c>
      <c r="V411">
        <f t="shared" si="89"/>
        <v>691839629299.14331</v>
      </c>
    </row>
    <row r="412" spans="1:22" x14ac:dyDescent="0.5">
      <c r="A412" s="3">
        <v>45</v>
      </c>
      <c r="B412" s="3">
        <v>0.99743918050000002</v>
      </c>
      <c r="C412" s="3">
        <v>5</v>
      </c>
      <c r="D412" s="3">
        <v>40</v>
      </c>
      <c r="E412" s="3">
        <v>7.0000000000000007E-2</v>
      </c>
      <c r="F412" s="3">
        <f t="shared" si="82"/>
        <v>3.2944744252340157</v>
      </c>
      <c r="G412" s="5">
        <v>0.35</v>
      </c>
      <c r="H412" s="4">
        <v>35000000</v>
      </c>
      <c r="I412" s="4">
        <f t="shared" si="92"/>
        <v>34910371.317500003</v>
      </c>
      <c r="J412" s="3">
        <v>210000000000</v>
      </c>
      <c r="K412" s="4">
        <f t="shared" si="93"/>
        <v>8.8170111356309533E-2</v>
      </c>
      <c r="L412" s="6">
        <f t="shared" si="83"/>
        <v>3.5268044542523813</v>
      </c>
      <c r="M412" s="4">
        <f t="shared" si="84"/>
        <v>33356049.155087605</v>
      </c>
      <c r="N412" s="4">
        <f t="shared" si="85"/>
        <v>1891573495.9373291</v>
      </c>
      <c r="O412" s="4">
        <f t="shared" si="86"/>
        <v>121660737822.36514</v>
      </c>
      <c r="P412" s="4">
        <f t="shared" si="87"/>
        <v>-10726840801.488714</v>
      </c>
      <c r="Q412" s="4">
        <f t="shared" si="90"/>
        <v>5261678.285779953</v>
      </c>
      <c r="R412" s="4">
        <f t="shared" si="90"/>
        <v>338416489.66152954</v>
      </c>
      <c r="S412" s="4">
        <f t="shared" si="90"/>
        <v>-29838219.578269958</v>
      </c>
      <c r="T412" s="3"/>
      <c r="U412" s="4">
        <f t="shared" si="88"/>
        <v>94258002.557250008</v>
      </c>
      <c r="V412">
        <f t="shared" si="89"/>
        <v>691839629299.14331</v>
      </c>
    </row>
    <row r="413" spans="1:22" x14ac:dyDescent="0.5">
      <c r="A413" s="3">
        <v>45</v>
      </c>
      <c r="B413" s="3">
        <v>0.99471830975000008</v>
      </c>
      <c r="C413" s="3">
        <v>5</v>
      </c>
      <c r="D413" s="3">
        <v>40</v>
      </c>
      <c r="E413" s="3">
        <v>7.0000000000000007E-2</v>
      </c>
      <c r="F413" s="3">
        <f t="shared" si="82"/>
        <v>3.2944744252340157</v>
      </c>
      <c r="G413" s="5">
        <v>0.35</v>
      </c>
      <c r="H413" s="4">
        <v>35000000</v>
      </c>
      <c r="I413" s="4">
        <f t="shared" si="92"/>
        <v>34815140.841250002</v>
      </c>
      <c r="J413" s="3">
        <v>210000000000</v>
      </c>
      <c r="K413" s="4">
        <f t="shared" si="93"/>
        <v>8.8170111356309533E-2</v>
      </c>
      <c r="L413" s="6">
        <f t="shared" si="83"/>
        <v>3.5268044542523813</v>
      </c>
      <c r="M413" s="4">
        <f t="shared" si="84"/>
        <v>33257487.317171663</v>
      </c>
      <c r="N413" s="4">
        <f t="shared" si="85"/>
        <v>1885984196.0941181</v>
      </c>
      <c r="O413" s="4">
        <f t="shared" si="86"/>
        <v>121301249626.79889</v>
      </c>
      <c r="P413" s="4">
        <f t="shared" si="87"/>
        <v>-10695144687.254358</v>
      </c>
      <c r="Q413" s="4">
        <f t="shared" si="90"/>
        <v>5589299.8432109356</v>
      </c>
      <c r="R413" s="4">
        <f t="shared" si="90"/>
        <v>359488195.56625366</v>
      </c>
      <c r="S413" s="4">
        <f t="shared" si="90"/>
        <v>-31696114.234355927</v>
      </c>
      <c r="T413" s="3"/>
      <c r="U413" s="4">
        <f t="shared" si="88"/>
        <v>94000880.271375015</v>
      </c>
      <c r="V413">
        <f t="shared" si="89"/>
        <v>691839629299.14331</v>
      </c>
    </row>
    <row r="414" spans="1:22" x14ac:dyDescent="0.5">
      <c r="A414" s="3">
        <v>45</v>
      </c>
      <c r="B414" s="3">
        <v>0.98879641475000002</v>
      </c>
      <c r="C414" s="3">
        <v>5</v>
      </c>
      <c r="D414" s="3">
        <v>40</v>
      </c>
      <c r="E414" s="3">
        <v>7.0000000000000007E-2</v>
      </c>
      <c r="F414" s="3">
        <f t="shared" si="82"/>
        <v>3.2944744252340157</v>
      </c>
      <c r="G414" s="5">
        <v>0.35</v>
      </c>
      <c r="H414" s="4">
        <v>35000000</v>
      </c>
      <c r="I414" s="4">
        <f t="shared" si="92"/>
        <v>34607874.516249999</v>
      </c>
      <c r="J414" s="3">
        <v>210000000000</v>
      </c>
      <c r="K414" s="4">
        <f t="shared" si="93"/>
        <v>8.8170111356309533E-2</v>
      </c>
      <c r="L414" s="6">
        <f t="shared" si="83"/>
        <v>3.5268044542523813</v>
      </c>
      <c r="M414" s="4">
        <f t="shared" si="84"/>
        <v>33043048.110499166</v>
      </c>
      <c r="N414" s="4">
        <f t="shared" si="85"/>
        <v>1873823657.5979199</v>
      </c>
      <c r="O414" s="4">
        <f t="shared" si="86"/>
        <v>120519117666.85005</v>
      </c>
      <c r="P414" s="4">
        <f t="shared" si="87"/>
        <v>-10626184025.250341</v>
      </c>
      <c r="Q414" s="4">
        <f t="shared" si="90"/>
        <v>12160538.496198177</v>
      </c>
      <c r="R414" s="4">
        <f t="shared" si="90"/>
        <v>782131959.94883728</v>
      </c>
      <c r="S414" s="4">
        <f t="shared" si="90"/>
        <v>-68960662.004016876</v>
      </c>
      <c r="T414" s="3"/>
      <c r="U414" s="4">
        <f t="shared" si="88"/>
        <v>93441261.193875</v>
      </c>
      <c r="V414">
        <f t="shared" si="89"/>
        <v>691839629299.14331</v>
      </c>
    </row>
    <row r="415" spans="1:22" x14ac:dyDescent="0.5">
      <c r="A415" s="3">
        <v>45</v>
      </c>
      <c r="B415" s="3">
        <v>0.9795134445</v>
      </c>
      <c r="C415" s="3">
        <v>5</v>
      </c>
      <c r="D415" s="3">
        <v>40</v>
      </c>
      <c r="E415" s="3">
        <v>7.0000000000000007E-2</v>
      </c>
      <c r="F415" s="3">
        <f t="shared" si="82"/>
        <v>3.2944744252340157</v>
      </c>
      <c r="G415" s="5">
        <v>0.35</v>
      </c>
      <c r="H415" s="4">
        <v>35000000</v>
      </c>
      <c r="I415" s="4">
        <f t="shared" si="92"/>
        <v>34282970.557499997</v>
      </c>
      <c r="J415" s="3">
        <v>210000000000</v>
      </c>
      <c r="K415" s="4">
        <f t="shared" si="93"/>
        <v>8.8170111356309533E-2</v>
      </c>
      <c r="L415" s="6">
        <f t="shared" si="83"/>
        <v>3.5268044542523813</v>
      </c>
      <c r="M415" s="4">
        <f t="shared" si="84"/>
        <v>32707115.722381469</v>
      </c>
      <c r="N415" s="4">
        <f t="shared" si="85"/>
        <v>1854773415.8011198</v>
      </c>
      <c r="O415" s="4">
        <f t="shared" si="86"/>
        <v>119293859183.54448</v>
      </c>
      <c r="P415" s="4">
        <f t="shared" si="87"/>
        <v>-10518152848.337027</v>
      </c>
      <c r="Q415" s="4">
        <f t="shared" si="90"/>
        <v>19050241.796800137</v>
      </c>
      <c r="R415" s="4">
        <f t="shared" si="90"/>
        <v>1225258483.3055725</v>
      </c>
      <c r="S415" s="4">
        <f t="shared" si="90"/>
        <v>-108031176.91331482</v>
      </c>
      <c r="T415" s="3"/>
      <c r="U415" s="4">
        <f t="shared" si="88"/>
        <v>92564020.505249992</v>
      </c>
      <c r="V415">
        <f t="shared" si="89"/>
        <v>691839629299.14331</v>
      </c>
    </row>
    <row r="416" spans="1:22" x14ac:dyDescent="0.5">
      <c r="A416" s="3">
        <v>45</v>
      </c>
      <c r="B416" s="3">
        <v>0.971190781</v>
      </c>
      <c r="C416" s="3">
        <v>5</v>
      </c>
      <c r="D416" s="3">
        <v>40</v>
      </c>
      <c r="E416" s="3">
        <v>7.0000000000000007E-2</v>
      </c>
      <c r="F416" s="3">
        <f t="shared" si="82"/>
        <v>3.2944744252340157</v>
      </c>
      <c r="G416" s="5">
        <v>0.35</v>
      </c>
      <c r="H416" s="4">
        <v>35000000</v>
      </c>
      <c r="I416" s="4">
        <f t="shared" si="92"/>
        <v>33991677.335000001</v>
      </c>
      <c r="J416" s="3">
        <v>210000000000</v>
      </c>
      <c r="K416" s="4">
        <f t="shared" si="93"/>
        <v>8.8170111356309533E-2</v>
      </c>
      <c r="L416" s="6">
        <f t="shared" si="83"/>
        <v>3.5268044542523813</v>
      </c>
      <c r="M416" s="4">
        <f t="shared" si="84"/>
        <v>32406160.345772013</v>
      </c>
      <c r="N416" s="4">
        <f t="shared" si="85"/>
        <v>1837706669.9401987</v>
      </c>
      <c r="O416" s="4">
        <f t="shared" si="86"/>
        <v>118196173633.32611</v>
      </c>
      <c r="P416" s="4">
        <f t="shared" si="87"/>
        <v>-10421369791.14006</v>
      </c>
      <c r="Q416" s="4">
        <f t="shared" si="90"/>
        <v>17066745.860921144</v>
      </c>
      <c r="R416" s="4">
        <f t="shared" si="90"/>
        <v>1097685550.2183685</v>
      </c>
      <c r="S416" s="4">
        <f t="shared" si="90"/>
        <v>-96783057.196966171</v>
      </c>
      <c r="T416" s="3"/>
      <c r="U416" s="4">
        <f t="shared" si="88"/>
        <v>91777528.804500014</v>
      </c>
      <c r="V416">
        <f t="shared" si="89"/>
        <v>691839629299.14331</v>
      </c>
    </row>
    <row r="417" spans="1:22" x14ac:dyDescent="0.5">
      <c r="A417" s="3">
        <v>45</v>
      </c>
      <c r="B417" s="3">
        <v>0.95854673450000005</v>
      </c>
      <c r="C417" s="3">
        <v>5</v>
      </c>
      <c r="D417" s="3">
        <v>40</v>
      </c>
      <c r="E417" s="3">
        <v>7.0000000000000007E-2</v>
      </c>
      <c r="F417" s="3">
        <f t="shared" si="82"/>
        <v>3.2944744252340157</v>
      </c>
      <c r="G417" s="5">
        <v>0.35</v>
      </c>
      <c r="H417" s="4">
        <v>35000000</v>
      </c>
      <c r="I417" s="4">
        <f t="shared" si="92"/>
        <v>33549135.707500003</v>
      </c>
      <c r="J417" s="3">
        <v>210000000000</v>
      </c>
      <c r="K417" s="4">
        <f t="shared" si="93"/>
        <v>8.8170111356309533E-2</v>
      </c>
      <c r="L417" s="6">
        <f t="shared" si="83"/>
        <v>3.5268044542523813</v>
      </c>
      <c r="M417" s="4">
        <f t="shared" si="84"/>
        <v>31949351.379535768</v>
      </c>
      <c r="N417" s="4">
        <f t="shared" si="85"/>
        <v>1811801691.5291922</v>
      </c>
      <c r="O417" s="4">
        <f t="shared" si="86"/>
        <v>116530037586.52463</v>
      </c>
      <c r="P417" s="4">
        <f t="shared" si="87"/>
        <v>-10274466390.358812</v>
      </c>
      <c r="Q417" s="4">
        <f t="shared" si="90"/>
        <v>25904978.411006451</v>
      </c>
      <c r="R417" s="4">
        <f t="shared" si="90"/>
        <v>1666136046.8014832</v>
      </c>
      <c r="S417" s="4">
        <f t="shared" si="90"/>
        <v>-146903400.78124809</v>
      </c>
      <c r="T417" s="3"/>
      <c r="U417" s="4">
        <f t="shared" si="88"/>
        <v>90582666.410250008</v>
      </c>
      <c r="V417">
        <f t="shared" si="89"/>
        <v>691839629299.14331</v>
      </c>
    </row>
    <row r="418" spans="1:22" x14ac:dyDescent="0.5">
      <c r="A418" s="3">
        <v>45</v>
      </c>
      <c r="B418" s="3">
        <v>0.94366197150000009</v>
      </c>
      <c r="C418" s="3">
        <v>5</v>
      </c>
      <c r="D418" s="3">
        <v>40</v>
      </c>
      <c r="E418" s="3">
        <v>7.0000000000000007E-2</v>
      </c>
      <c r="F418" s="3">
        <f t="shared" si="82"/>
        <v>3.2944744252340157</v>
      </c>
      <c r="G418" s="5">
        <v>0.35</v>
      </c>
      <c r="H418" s="4">
        <v>35000000</v>
      </c>
      <c r="I418" s="4">
        <f t="shared" si="92"/>
        <v>33028169.002500001</v>
      </c>
      <c r="J418" s="3">
        <v>210000000000</v>
      </c>
      <c r="K418" s="4">
        <f t="shared" si="93"/>
        <v>8.8170111356309533E-2</v>
      </c>
      <c r="L418" s="6">
        <f t="shared" si="83"/>
        <v>3.5268044542523813</v>
      </c>
      <c r="M418" s="4">
        <f t="shared" si="84"/>
        <v>31412232.581625711</v>
      </c>
      <c r="N418" s="4">
        <f t="shared" si="85"/>
        <v>1781342458.2557151</v>
      </c>
      <c r="O418" s="4">
        <f t="shared" si="86"/>
        <v>114570984553.94949</v>
      </c>
      <c r="P418" s="4">
        <f t="shared" si="87"/>
        <v>-10101736466.323748</v>
      </c>
      <c r="Q418" s="4">
        <f t="shared" si="90"/>
        <v>30459233.273477077</v>
      </c>
      <c r="R418" s="4">
        <f t="shared" si="90"/>
        <v>1959053032.5751343</v>
      </c>
      <c r="S418" s="4">
        <f t="shared" si="90"/>
        <v>-172729924.0350647</v>
      </c>
      <c r="T418" s="3"/>
      <c r="U418" s="4">
        <f t="shared" si="88"/>
        <v>89176056.306750014</v>
      </c>
      <c r="V418">
        <f t="shared" si="89"/>
        <v>691839629299.14331</v>
      </c>
    </row>
    <row r="419" spans="1:22" x14ac:dyDescent="0.5">
      <c r="A419" s="3">
        <v>45</v>
      </c>
      <c r="B419" s="3">
        <v>0.92605633774999996</v>
      </c>
      <c r="C419" s="3">
        <v>5</v>
      </c>
      <c r="D419" s="3">
        <v>40</v>
      </c>
      <c r="E419" s="3">
        <v>7.0000000000000007E-2</v>
      </c>
      <c r="F419" s="3">
        <f t="shared" si="82"/>
        <v>3.2944744252340157</v>
      </c>
      <c r="G419" s="5">
        <v>0.35</v>
      </c>
      <c r="H419" s="4">
        <v>35000000</v>
      </c>
      <c r="I419" s="4">
        <f t="shared" si="92"/>
        <v>32411971.821249999</v>
      </c>
      <c r="J419" s="3">
        <v>210000000000</v>
      </c>
      <c r="K419" s="4">
        <f t="shared" si="93"/>
        <v>8.8170111356309533E-2</v>
      </c>
      <c r="L419" s="6">
        <f t="shared" si="83"/>
        <v>3.5268044542523813</v>
      </c>
      <c r="M419" s="4">
        <f t="shared" si="84"/>
        <v>30777842.418041822</v>
      </c>
      <c r="N419" s="4">
        <f t="shared" si="85"/>
        <v>1745367105.9608643</v>
      </c>
      <c r="O419" s="4">
        <f t="shared" si="86"/>
        <v>112257150112.40576</v>
      </c>
      <c r="P419" s="4">
        <f t="shared" si="87"/>
        <v>-9897725425.9527721</v>
      </c>
      <c r="Q419" s="4">
        <f t="shared" si="90"/>
        <v>35975352.294850826</v>
      </c>
      <c r="R419" s="4">
        <f t="shared" si="90"/>
        <v>2313834441.5437317</v>
      </c>
      <c r="S419" s="4">
        <f t="shared" si="90"/>
        <v>-204011040.37097549</v>
      </c>
      <c r="T419" s="3"/>
      <c r="U419" s="4">
        <f t="shared" si="88"/>
        <v>87512323.917374998</v>
      </c>
      <c r="V419">
        <f t="shared" si="89"/>
        <v>691839629299.14331</v>
      </c>
    </row>
    <row r="420" spans="1:22" x14ac:dyDescent="0.5">
      <c r="A420" s="3">
        <v>45</v>
      </c>
      <c r="B420" s="3">
        <v>0.90620998725000002</v>
      </c>
      <c r="C420" s="3">
        <v>5</v>
      </c>
      <c r="D420" s="3">
        <v>40</v>
      </c>
      <c r="E420" s="3">
        <v>7.0000000000000007E-2</v>
      </c>
      <c r="F420" s="3">
        <f t="shared" si="82"/>
        <v>3.2944744252340157</v>
      </c>
      <c r="G420" s="5">
        <v>0.35</v>
      </c>
      <c r="H420" s="4">
        <v>35000000</v>
      </c>
      <c r="I420" s="4">
        <f t="shared" si="92"/>
        <v>31717349.553750001</v>
      </c>
      <c r="J420" s="3">
        <v>210000000000</v>
      </c>
      <c r="K420" s="4">
        <f t="shared" si="93"/>
        <v>8.8170111356309533E-2</v>
      </c>
      <c r="L420" s="6">
        <f t="shared" si="83"/>
        <v>3.5268044542523813</v>
      </c>
      <c r="M420" s="4">
        <f t="shared" si="84"/>
        <v>30063916.781163871</v>
      </c>
      <c r="N420" s="4">
        <f t="shared" si="85"/>
        <v>1704881411.551743</v>
      </c>
      <c r="O420" s="4">
        <f t="shared" si="86"/>
        <v>109653223030.72304</v>
      </c>
      <c r="P420" s="4">
        <f t="shared" si="87"/>
        <v>-9668136885.1970959</v>
      </c>
      <c r="Q420" s="4">
        <f t="shared" si="90"/>
        <v>40485694.409121275</v>
      </c>
      <c r="R420" s="4">
        <f t="shared" si="90"/>
        <v>2603927081.682724</v>
      </c>
      <c r="S420" s="4">
        <f t="shared" si="90"/>
        <v>-229588540.75567627</v>
      </c>
      <c r="T420" s="3"/>
      <c r="U420" s="4">
        <f t="shared" si="88"/>
        <v>85636843.795125008</v>
      </c>
      <c r="V420">
        <f t="shared" si="89"/>
        <v>691839629299.14331</v>
      </c>
    </row>
    <row r="421" spans="1:22" x14ac:dyDescent="0.5">
      <c r="A421" s="3">
        <v>45</v>
      </c>
      <c r="B421" s="3">
        <v>0.88380281699999996</v>
      </c>
      <c r="C421" s="3">
        <v>5</v>
      </c>
      <c r="D421" s="3">
        <v>40</v>
      </c>
      <c r="E421" s="3">
        <v>7.0000000000000007E-2</v>
      </c>
      <c r="F421" s="3">
        <f t="shared" si="82"/>
        <v>3.2944744252340157</v>
      </c>
      <c r="G421" s="5">
        <v>0.35</v>
      </c>
      <c r="H421" s="4">
        <v>35000000</v>
      </c>
      <c r="I421" s="4">
        <f t="shared" si="92"/>
        <v>30933098.594999999</v>
      </c>
      <c r="J421" s="3">
        <v>210000000000</v>
      </c>
      <c r="K421" s="4">
        <f t="shared" si="93"/>
        <v>8.8170111356309533E-2</v>
      </c>
      <c r="L421" s="6">
        <f t="shared" si="83"/>
        <v>3.5268044542523813</v>
      </c>
      <c r="M421" s="4">
        <f t="shared" si="84"/>
        <v>29259437.719744626</v>
      </c>
      <c r="N421" s="4">
        <f t="shared" si="85"/>
        <v>1659260562.8852253</v>
      </c>
      <c r="O421" s="4">
        <f t="shared" si="86"/>
        <v>106719017132.42105</v>
      </c>
      <c r="P421" s="4">
        <f t="shared" si="87"/>
        <v>-9409427624.4014702</v>
      </c>
      <c r="Q421" s="4">
        <f t="shared" si="90"/>
        <v>45620848.666517735</v>
      </c>
      <c r="R421" s="4">
        <f t="shared" si="90"/>
        <v>2934205898.3019867</v>
      </c>
      <c r="S421" s="4">
        <f t="shared" si="90"/>
        <v>-258709260.79562569</v>
      </c>
      <c r="T421" s="3"/>
      <c r="U421" s="4">
        <f t="shared" si="88"/>
        <v>83519366.206500009</v>
      </c>
      <c r="V421">
        <f t="shared" si="89"/>
        <v>691839629299.14331</v>
      </c>
    </row>
    <row r="422" spans="1:22" x14ac:dyDescent="0.5">
      <c r="A422" s="3">
        <v>45</v>
      </c>
      <c r="B422" s="3">
        <v>0.85835467350000005</v>
      </c>
      <c r="C422" s="3">
        <v>5</v>
      </c>
      <c r="D422" s="3">
        <v>40</v>
      </c>
      <c r="E422" s="3">
        <v>7.0000000000000007E-2</v>
      </c>
      <c r="F422" s="3">
        <f t="shared" si="82"/>
        <v>3.2944744252340157</v>
      </c>
      <c r="G422" s="5">
        <v>0.35</v>
      </c>
      <c r="H422" s="4">
        <v>35000000</v>
      </c>
      <c r="I422" s="4">
        <f t="shared" si="92"/>
        <v>30042413.572500002</v>
      </c>
      <c r="J422" s="3">
        <v>210000000000</v>
      </c>
      <c r="K422" s="4">
        <f t="shared" si="93"/>
        <v>8.8170111356309533E-2</v>
      </c>
      <c r="L422" s="6">
        <f t="shared" si="83"/>
        <v>3.5268044542523813</v>
      </c>
      <c r="M422" s="4">
        <f t="shared" si="84"/>
        <v>28347840.912166994</v>
      </c>
      <c r="N422" s="4">
        <f t="shared" si="85"/>
        <v>1607565221.1444325</v>
      </c>
      <c r="O422" s="4">
        <f t="shared" si="86"/>
        <v>103394116761.55408</v>
      </c>
      <c r="P422" s="4">
        <f t="shared" si="87"/>
        <v>-9116270788.453495</v>
      </c>
      <c r="Q422" s="4">
        <f t="shared" si="90"/>
        <v>51695341.740792751</v>
      </c>
      <c r="R422" s="4">
        <f t="shared" si="90"/>
        <v>3324900370.8669739</v>
      </c>
      <c r="S422" s="4">
        <f t="shared" si="90"/>
        <v>-293156835.94797516</v>
      </c>
      <c r="T422" s="3"/>
      <c r="U422" s="4">
        <f t="shared" si="88"/>
        <v>81114516.645750016</v>
      </c>
      <c r="V422">
        <f t="shared" si="89"/>
        <v>691839629299.14331</v>
      </c>
    </row>
    <row r="423" spans="1:22" x14ac:dyDescent="0.5">
      <c r="A423" s="3">
        <v>45</v>
      </c>
      <c r="B423" s="3">
        <v>0.82698463499999997</v>
      </c>
      <c r="C423" s="3">
        <v>5</v>
      </c>
      <c r="D423" s="3">
        <v>40</v>
      </c>
      <c r="E423" s="3">
        <v>7.0000000000000007E-2</v>
      </c>
      <c r="F423" s="3">
        <f t="shared" si="82"/>
        <v>3.2944744252340157</v>
      </c>
      <c r="G423" s="5">
        <v>0.35</v>
      </c>
      <c r="H423" s="4">
        <v>35000000</v>
      </c>
      <c r="I423" s="4">
        <f t="shared" si="92"/>
        <v>28944462.224999998</v>
      </c>
      <c r="J423" s="3">
        <v>210000000000</v>
      </c>
      <c r="K423" s="4">
        <f t="shared" si="93"/>
        <v>8.8170111356309533E-2</v>
      </c>
      <c r="L423" s="6">
        <f t="shared" si="83"/>
        <v>3.5268044542523813</v>
      </c>
      <c r="M423" s="4">
        <f t="shared" si="84"/>
        <v>27227214.121004678</v>
      </c>
      <c r="N423" s="4">
        <f t="shared" si="85"/>
        <v>1544016090.1563993</v>
      </c>
      <c r="O423" s="4">
        <f t="shared" si="86"/>
        <v>99306813687.906876</v>
      </c>
      <c r="P423" s="4">
        <f t="shared" si="87"/>
        <v>-8755892821.3030338</v>
      </c>
      <c r="Q423" s="4">
        <f t="shared" si="90"/>
        <v>63549130.988033295</v>
      </c>
      <c r="R423" s="4">
        <f t="shared" si="90"/>
        <v>4087303073.6472015</v>
      </c>
      <c r="S423" s="4">
        <f t="shared" si="90"/>
        <v>-360377967.1504612</v>
      </c>
      <c r="T423" s="3"/>
      <c r="U423" s="4">
        <f t="shared" si="88"/>
        <v>78150048.007499993</v>
      </c>
      <c r="V423">
        <f t="shared" si="89"/>
        <v>691839629299.14331</v>
      </c>
    </row>
    <row r="424" spans="1:22" x14ac:dyDescent="0.5">
      <c r="A424" s="3">
        <v>45</v>
      </c>
      <c r="B424" s="3">
        <v>0.79433418725000005</v>
      </c>
      <c r="C424" s="3">
        <v>5</v>
      </c>
      <c r="D424" s="3">
        <v>40</v>
      </c>
      <c r="E424" s="3">
        <v>7.0000000000000007E-2</v>
      </c>
      <c r="F424" s="3">
        <f t="shared" si="82"/>
        <v>3.2944744252340157</v>
      </c>
      <c r="G424" s="5">
        <v>0.35</v>
      </c>
      <c r="H424" s="4">
        <v>35000000</v>
      </c>
      <c r="I424" s="4">
        <f t="shared" si="92"/>
        <v>27801696.553750001</v>
      </c>
      <c r="J424" s="3">
        <v>210000000000</v>
      </c>
      <c r="K424" s="4">
        <f t="shared" si="93"/>
        <v>8.8170111356309533E-2</v>
      </c>
      <c r="L424" s="6">
        <f t="shared" si="83"/>
        <v>3.5268044542523813</v>
      </c>
      <c r="M424" s="4">
        <f t="shared" si="84"/>
        <v>26064606.44296908</v>
      </c>
      <c r="N424" s="4">
        <f t="shared" si="85"/>
        <v>1478086283.5500929</v>
      </c>
      <c r="O424" s="4">
        <f t="shared" si="86"/>
        <v>95066392190.441132</v>
      </c>
      <c r="P424" s="4">
        <f t="shared" si="87"/>
        <v>-8382014385.67379</v>
      </c>
      <c r="Q424" s="4">
        <f t="shared" si="90"/>
        <v>65929806.606306314</v>
      </c>
      <c r="R424" s="4">
        <f t="shared" si="90"/>
        <v>4240421497.465744</v>
      </c>
      <c r="S424" s="4">
        <f t="shared" si="90"/>
        <v>-373878435.62924385</v>
      </c>
      <c r="T424" s="3"/>
      <c r="U424" s="4">
        <f t="shared" si="88"/>
        <v>75064580.695125014</v>
      </c>
      <c r="V424">
        <f t="shared" si="89"/>
        <v>691839629299.14331</v>
      </c>
    </row>
    <row r="425" spans="1:22" x14ac:dyDescent="0.5">
      <c r="A425" s="3">
        <v>45</v>
      </c>
      <c r="B425" s="3">
        <v>0.75944302149999998</v>
      </c>
      <c r="C425" s="3">
        <v>5</v>
      </c>
      <c r="D425" s="3">
        <v>40</v>
      </c>
      <c r="E425" s="3">
        <v>7.0000000000000007E-2</v>
      </c>
      <c r="F425" s="3">
        <f t="shared" si="82"/>
        <v>3.2944744252340157</v>
      </c>
      <c r="G425" s="5">
        <v>0.35</v>
      </c>
      <c r="H425" s="4">
        <v>35000000</v>
      </c>
      <c r="I425" s="4">
        <f t="shared" si="92"/>
        <v>26580505.752499998</v>
      </c>
      <c r="J425" s="3">
        <v>210000000000</v>
      </c>
      <c r="K425" s="4">
        <f t="shared" si="93"/>
        <v>8.8170111356309533E-2</v>
      </c>
      <c r="L425" s="6">
        <f t="shared" si="83"/>
        <v>3.5268044542523813</v>
      </c>
      <c r="M425" s="4">
        <f t="shared" si="84"/>
        <v>24826611.113377813</v>
      </c>
      <c r="N425" s="4">
        <f t="shared" si="85"/>
        <v>1407881351.8250818</v>
      </c>
      <c r="O425" s="4">
        <f t="shared" si="86"/>
        <v>90551006554.737228</v>
      </c>
      <c r="P425" s="4">
        <f t="shared" si="87"/>
        <v>-7983892331.3570967</v>
      </c>
      <c r="Q425" s="4">
        <f t="shared" si="90"/>
        <v>70204931.72501111</v>
      </c>
      <c r="R425" s="4">
        <f t="shared" si="90"/>
        <v>4515385635.7039032</v>
      </c>
      <c r="S425" s="4">
        <f t="shared" si="90"/>
        <v>-398122054.31669331</v>
      </c>
      <c r="T425" s="3"/>
      <c r="U425" s="4">
        <f t="shared" si="88"/>
        <v>71767365.531749994</v>
      </c>
      <c r="V425">
        <f t="shared" si="89"/>
        <v>691839629299.14331</v>
      </c>
    </row>
    <row r="426" spans="1:22" x14ac:dyDescent="0.5">
      <c r="A426" s="3">
        <v>45</v>
      </c>
      <c r="B426" s="3">
        <v>0.72167093474999999</v>
      </c>
      <c r="C426" s="3">
        <v>5</v>
      </c>
      <c r="D426" s="3">
        <v>40</v>
      </c>
      <c r="E426" s="3">
        <v>7.0000000000000007E-2</v>
      </c>
      <c r="F426" s="3">
        <f t="shared" si="82"/>
        <v>3.2944744252340157</v>
      </c>
      <c r="G426" s="5">
        <v>0.35</v>
      </c>
      <c r="H426" s="4">
        <v>35000000</v>
      </c>
      <c r="I426" s="4">
        <f t="shared" si="92"/>
        <v>25258482.716249999</v>
      </c>
      <c r="J426" s="3">
        <v>210000000000</v>
      </c>
      <c r="K426" s="4">
        <f t="shared" si="93"/>
        <v>8.8170111356309533E-2</v>
      </c>
      <c r="L426" s="6">
        <f t="shared" si="83"/>
        <v>3.5268044542523813</v>
      </c>
      <c r="M426" s="4">
        <f t="shared" si="84"/>
        <v>23491736.909265295</v>
      </c>
      <c r="N426" s="4">
        <f t="shared" si="85"/>
        <v>1332182558.6865499</v>
      </c>
      <c r="O426" s="4">
        <f t="shared" si="86"/>
        <v>85682271057.397873</v>
      </c>
      <c r="P426" s="4">
        <f t="shared" si="87"/>
        <v>-7554615380.3922691</v>
      </c>
      <c r="Q426" s="4">
        <f t="shared" si="90"/>
        <v>75698793.138531923</v>
      </c>
      <c r="R426" s="4">
        <f t="shared" si="90"/>
        <v>4868735497.3393555</v>
      </c>
      <c r="S426" s="4">
        <f t="shared" si="90"/>
        <v>-429276950.96482754</v>
      </c>
      <c r="T426" s="3"/>
      <c r="U426" s="4">
        <f t="shared" si="88"/>
        <v>68197903.333875</v>
      </c>
      <c r="V426">
        <f t="shared" si="89"/>
        <v>691839629299.14331</v>
      </c>
    </row>
    <row r="427" spans="1:22" x14ac:dyDescent="0.5">
      <c r="A427" s="3">
        <v>45</v>
      </c>
      <c r="B427" s="3">
        <v>0.68389884725000005</v>
      </c>
      <c r="C427" s="3">
        <v>5</v>
      </c>
      <c r="D427" s="3">
        <v>40</v>
      </c>
      <c r="E427" s="3">
        <v>7.0000000000000007E-2</v>
      </c>
      <c r="F427" s="3">
        <f t="shared" si="82"/>
        <v>3.2944744252340157</v>
      </c>
      <c r="G427" s="5">
        <v>0.35</v>
      </c>
      <c r="H427" s="4">
        <v>35000000</v>
      </c>
      <c r="I427" s="4">
        <f t="shared" si="92"/>
        <v>23936459.653750002</v>
      </c>
      <c r="J427" s="3">
        <v>210000000000</v>
      </c>
      <c r="K427" s="4">
        <f t="shared" si="93"/>
        <v>8.8170111356309533E-2</v>
      </c>
      <c r="L427" s="6">
        <f t="shared" si="83"/>
        <v>3.5268044542523813</v>
      </c>
      <c r="M427" s="4">
        <f t="shared" si="84"/>
        <v>22162674.789210003</v>
      </c>
      <c r="N427" s="4">
        <f t="shared" si="85"/>
        <v>1256813360.4622028</v>
      </c>
      <c r="O427" s="4">
        <f t="shared" si="86"/>
        <v>80834734186.772385</v>
      </c>
      <c r="P427" s="4">
        <f t="shared" si="87"/>
        <v>-7127207514.7054024</v>
      </c>
      <c r="Q427" s="4">
        <f t="shared" si="90"/>
        <v>75369198.224347115</v>
      </c>
      <c r="R427" s="4">
        <f t="shared" si="90"/>
        <v>4847536870.6254883</v>
      </c>
      <c r="S427" s="4">
        <f t="shared" si="90"/>
        <v>-427407865.68686676</v>
      </c>
      <c r="T427" s="3"/>
      <c r="U427" s="4">
        <f t="shared" si="88"/>
        <v>64628441.065125011</v>
      </c>
      <c r="V427">
        <f t="shared" si="89"/>
        <v>691839629299.14331</v>
      </c>
    </row>
    <row r="428" spans="1:22" x14ac:dyDescent="0.5">
      <c r="A428" s="3">
        <v>45</v>
      </c>
      <c r="B428" s="3">
        <v>0.64580665800000003</v>
      </c>
      <c r="C428" s="3">
        <v>5</v>
      </c>
      <c r="D428" s="3">
        <v>40</v>
      </c>
      <c r="E428" s="3">
        <v>7.0000000000000007E-2</v>
      </c>
      <c r="F428" s="3">
        <f t="shared" si="82"/>
        <v>3.2944744252340157</v>
      </c>
      <c r="G428" s="5">
        <v>0.35</v>
      </c>
      <c r="H428" s="4">
        <v>35000000</v>
      </c>
      <c r="I428" s="4">
        <f t="shared" si="92"/>
        <v>22603233.030000001</v>
      </c>
      <c r="J428" s="3">
        <v>210000000000</v>
      </c>
      <c r="K428" s="4">
        <f t="shared" si="93"/>
        <v>8.8170111356309533E-2</v>
      </c>
      <c r="L428" s="6">
        <f t="shared" si="83"/>
        <v>3.5268044542523813</v>
      </c>
      <c r="M428" s="4">
        <f t="shared" si="84"/>
        <v>20828534.182116345</v>
      </c>
      <c r="N428" s="4">
        <f t="shared" si="85"/>
        <v>1181156168.5538144</v>
      </c>
      <c r="O428" s="4">
        <f t="shared" si="86"/>
        <v>75968674364.665543</v>
      </c>
      <c r="P428" s="4">
        <f t="shared" si="87"/>
        <v>-6698166478.3237782</v>
      </c>
      <c r="Q428" s="4">
        <f t="shared" si="90"/>
        <v>75657191.908388376</v>
      </c>
      <c r="R428" s="4">
        <f t="shared" si="90"/>
        <v>4866059822.106842</v>
      </c>
      <c r="S428" s="4">
        <f t="shared" si="90"/>
        <v>-429041036.38162422</v>
      </c>
      <c r="T428" s="3"/>
      <c r="U428" s="4">
        <f t="shared" si="88"/>
        <v>61028729.181000009</v>
      </c>
      <c r="V428">
        <f t="shared" si="89"/>
        <v>691839629299.14331</v>
      </c>
    </row>
    <row r="429" spans="1:22" x14ac:dyDescent="0.5">
      <c r="A429" s="3">
        <v>45</v>
      </c>
      <c r="B429" s="3">
        <v>0.60515364950000006</v>
      </c>
      <c r="C429" s="3">
        <v>5</v>
      </c>
      <c r="D429" s="3">
        <v>40</v>
      </c>
      <c r="E429" s="3">
        <v>7.0000000000000007E-2</v>
      </c>
      <c r="F429" s="3">
        <f t="shared" si="82"/>
        <v>3.2944744252340157</v>
      </c>
      <c r="G429" s="5">
        <v>0.35</v>
      </c>
      <c r="H429" s="4">
        <v>35000000</v>
      </c>
      <c r="I429" s="4">
        <f t="shared" si="92"/>
        <v>21180377.732500002</v>
      </c>
      <c r="J429" s="3">
        <v>210000000000</v>
      </c>
      <c r="K429" s="4">
        <f t="shared" si="93"/>
        <v>8.8170111356309533E-2</v>
      </c>
      <c r="L429" s="6">
        <f t="shared" si="83"/>
        <v>3.5268044542523813</v>
      </c>
      <c r="M429" s="4">
        <f t="shared" si="84"/>
        <v>19411932.575817946</v>
      </c>
      <c r="N429" s="4">
        <f t="shared" si="85"/>
        <v>1100822732.1711786</v>
      </c>
      <c r="O429" s="4">
        <f t="shared" si="86"/>
        <v>70801851524.787216</v>
      </c>
      <c r="P429" s="4">
        <f t="shared" si="87"/>
        <v>-6242607133.1733828</v>
      </c>
      <c r="Q429" s="4">
        <f t="shared" si="90"/>
        <v>80333436.382635832</v>
      </c>
      <c r="R429" s="4">
        <f t="shared" si="90"/>
        <v>5166822839.8783264</v>
      </c>
      <c r="S429" s="4">
        <f t="shared" si="90"/>
        <v>-455559345.15039539</v>
      </c>
      <c r="T429" s="3"/>
      <c r="U429" s="4">
        <f t="shared" si="88"/>
        <v>57187019.877750009</v>
      </c>
      <c r="V429">
        <f t="shared" si="89"/>
        <v>691839629299.14331</v>
      </c>
    </row>
    <row r="430" spans="1:22" x14ac:dyDescent="0.5">
      <c r="A430" s="3">
        <v>45</v>
      </c>
      <c r="B430" s="3">
        <v>0.56466069149999998</v>
      </c>
      <c r="C430" s="3">
        <v>5</v>
      </c>
      <c r="D430" s="3">
        <v>40</v>
      </c>
      <c r="E430" s="3">
        <v>7.0000000000000007E-2</v>
      </c>
      <c r="F430" s="3">
        <f t="shared" si="82"/>
        <v>3.2944744252340157</v>
      </c>
      <c r="G430" s="5">
        <v>0.35</v>
      </c>
      <c r="H430" s="4">
        <v>35000000</v>
      </c>
      <c r="I430" s="4">
        <f t="shared" si="92"/>
        <v>19763124.202500001</v>
      </c>
      <c r="J430" s="3">
        <v>210000000000</v>
      </c>
      <c r="K430" s="4">
        <f t="shared" si="93"/>
        <v>8.8170111356309533E-2</v>
      </c>
      <c r="L430" s="6">
        <f t="shared" si="83"/>
        <v>3.5268044542523813</v>
      </c>
      <c r="M430" s="4">
        <f t="shared" si="84"/>
        <v>18008774.693858545</v>
      </c>
      <c r="N430" s="4">
        <f t="shared" si="85"/>
        <v>1021251670.0292124</v>
      </c>
      <c r="O430" s="4">
        <f t="shared" si="86"/>
        <v>65684062472.29055</v>
      </c>
      <c r="P430" s="4">
        <f t="shared" si="87"/>
        <v>-5791371102.5166502</v>
      </c>
      <c r="Q430" s="4">
        <f t="shared" si="90"/>
        <v>79571062.141966224</v>
      </c>
      <c r="R430" s="4">
        <f t="shared" si="90"/>
        <v>5117789052.496666</v>
      </c>
      <c r="S430" s="4">
        <f t="shared" si="90"/>
        <v>-451236030.65673256</v>
      </c>
      <c r="T430" s="3"/>
      <c r="U430" s="4">
        <f t="shared" si="88"/>
        <v>53360435.346750006</v>
      </c>
      <c r="V430">
        <f t="shared" si="89"/>
        <v>691839629299.14331</v>
      </c>
    </row>
    <row r="431" spans="1:22" x14ac:dyDescent="0.5">
      <c r="A431" s="3">
        <v>45</v>
      </c>
      <c r="B431" s="3">
        <v>0.52096670924999999</v>
      </c>
      <c r="C431" s="3">
        <v>5</v>
      </c>
      <c r="D431" s="3">
        <v>40</v>
      </c>
      <c r="E431" s="3">
        <v>7.0000000000000007E-2</v>
      </c>
      <c r="F431" s="3">
        <f t="shared" si="82"/>
        <v>3.2944744252340157</v>
      </c>
      <c r="G431" s="5">
        <v>0.35</v>
      </c>
      <c r="H431" s="4">
        <v>35000000</v>
      </c>
      <c r="I431" s="4">
        <f t="shared" si="92"/>
        <v>18233834.82375</v>
      </c>
      <c r="J431" s="3">
        <v>210000000000</v>
      </c>
      <c r="K431" s="4">
        <f t="shared" si="93"/>
        <v>8.8170111356309533E-2</v>
      </c>
      <c r="L431" s="6">
        <f t="shared" si="83"/>
        <v>3.5268044542523813</v>
      </c>
      <c r="M431" s="4">
        <f t="shared" si="84"/>
        <v>16504097.565791547</v>
      </c>
      <c r="N431" s="4">
        <f t="shared" si="85"/>
        <v>935923597.68583298</v>
      </c>
      <c r="O431" s="4">
        <f t="shared" si="86"/>
        <v>60195998561.185921</v>
      </c>
      <c r="P431" s="4">
        <f t="shared" si="87"/>
        <v>-5307487896.3440113</v>
      </c>
      <c r="Q431" s="4">
        <f t="shared" si="90"/>
        <v>85328072.343379378</v>
      </c>
      <c r="R431" s="4">
        <f t="shared" si="90"/>
        <v>5488063911.1046295</v>
      </c>
      <c r="S431" s="4">
        <f t="shared" si="90"/>
        <v>-483883206.17263889</v>
      </c>
      <c r="T431" s="3"/>
      <c r="U431" s="4">
        <f t="shared" si="88"/>
        <v>49231354.024125002</v>
      </c>
      <c r="V431">
        <f t="shared" si="89"/>
        <v>691839629299.14331</v>
      </c>
    </row>
    <row r="432" spans="1:22" x14ac:dyDescent="0.5">
      <c r="A432" s="3">
        <v>45</v>
      </c>
      <c r="B432" s="3">
        <v>0.4779129325</v>
      </c>
      <c r="C432" s="3">
        <v>5</v>
      </c>
      <c r="D432" s="3">
        <v>40</v>
      </c>
      <c r="E432" s="3">
        <v>7.0000000000000007E-2</v>
      </c>
      <c r="F432" s="3">
        <f t="shared" si="82"/>
        <v>3.2944744252340157</v>
      </c>
      <c r="G432" s="5">
        <v>0.35</v>
      </c>
      <c r="H432" s="4">
        <v>35000000</v>
      </c>
      <c r="I432" s="4">
        <f t="shared" si="92"/>
        <v>16726952.637499999</v>
      </c>
      <c r="J432" s="3">
        <v>210000000000</v>
      </c>
      <c r="K432" s="4">
        <f t="shared" si="93"/>
        <v>8.8170111356309533E-2</v>
      </c>
      <c r="L432" s="6">
        <f t="shared" si="83"/>
        <v>3.5268044542523813</v>
      </c>
      <c r="M432" s="4">
        <f t="shared" si="84"/>
        <v>15031725.193274194</v>
      </c>
      <c r="N432" s="4">
        <f t="shared" si="85"/>
        <v>852427481.492486</v>
      </c>
      <c r="O432" s="4">
        <f t="shared" si="86"/>
        <v>54825760966.29361</v>
      </c>
      <c r="P432" s="4">
        <f t="shared" si="87"/>
        <v>-4833993449.5925159</v>
      </c>
      <c r="Q432" s="4">
        <f t="shared" si="90"/>
        <v>83496116.193346977</v>
      </c>
      <c r="R432" s="4">
        <f t="shared" si="90"/>
        <v>5370237594.8923111</v>
      </c>
      <c r="S432" s="4">
        <f t="shared" si="90"/>
        <v>-473494446.75149536</v>
      </c>
      <c r="T432" s="3"/>
      <c r="U432" s="4">
        <f t="shared" si="88"/>
        <v>45162772.121250004</v>
      </c>
      <c r="V432">
        <f t="shared" si="89"/>
        <v>691839629299.14331</v>
      </c>
    </row>
    <row r="433" spans="1:22" x14ac:dyDescent="0.5">
      <c r="A433" s="3">
        <v>45</v>
      </c>
      <c r="B433" s="3">
        <v>0.43629961549999996</v>
      </c>
      <c r="C433" s="3">
        <v>5</v>
      </c>
      <c r="D433" s="3">
        <v>40</v>
      </c>
      <c r="E433" s="3">
        <v>7.0000000000000007E-2</v>
      </c>
      <c r="F433" s="3">
        <f t="shared" si="82"/>
        <v>3.2944744252340157</v>
      </c>
      <c r="G433" s="5">
        <v>0.35</v>
      </c>
      <c r="H433" s="4">
        <v>35000000</v>
      </c>
      <c r="I433" s="4">
        <f t="shared" si="92"/>
        <v>15270486.542499999</v>
      </c>
      <c r="J433" s="3">
        <v>210000000000</v>
      </c>
      <c r="K433" s="4">
        <f t="shared" si="93"/>
        <v>8.8170111356309533E-2</v>
      </c>
      <c r="L433" s="6">
        <f t="shared" si="83"/>
        <v>3.5268044542523813</v>
      </c>
      <c r="M433" s="4">
        <f t="shared" si="84"/>
        <v>13619083.382448774</v>
      </c>
      <c r="N433" s="4">
        <f t="shared" si="85"/>
        <v>772318599.40676939</v>
      </c>
      <c r="O433" s="4">
        <f t="shared" si="86"/>
        <v>49673380833.242706</v>
      </c>
      <c r="P433" s="4">
        <f t="shared" si="87"/>
        <v>-4379707519.5113821</v>
      </c>
      <c r="Q433" s="4">
        <f t="shared" si="90"/>
        <v>80108882.085716605</v>
      </c>
      <c r="R433" s="4">
        <f t="shared" si="90"/>
        <v>5152380133.0509033</v>
      </c>
      <c r="S433" s="4">
        <f t="shared" si="90"/>
        <v>-454285930.08113384</v>
      </c>
      <c r="T433" s="3"/>
      <c r="U433" s="4">
        <f t="shared" si="88"/>
        <v>41230313.664750002</v>
      </c>
      <c r="V433">
        <f t="shared" si="89"/>
        <v>691839629299.14331</v>
      </c>
    </row>
    <row r="434" spans="1:22" x14ac:dyDescent="0.5">
      <c r="A434" s="3">
        <v>45</v>
      </c>
      <c r="B434" s="3">
        <v>0.39500640175000001</v>
      </c>
      <c r="C434" s="3">
        <v>5</v>
      </c>
      <c r="D434" s="3">
        <v>40</v>
      </c>
      <c r="E434" s="3">
        <v>7.0000000000000007E-2</v>
      </c>
      <c r="F434" s="3">
        <f t="shared" si="82"/>
        <v>3.2944744252340157</v>
      </c>
      <c r="G434" s="5">
        <v>0.35</v>
      </c>
      <c r="H434" s="4">
        <v>35000000</v>
      </c>
      <c r="I434" s="4">
        <f t="shared" si="92"/>
        <v>13825224.061250001</v>
      </c>
      <c r="J434" s="3">
        <v>210000000000</v>
      </c>
      <c r="K434" s="4">
        <f t="shared" si="93"/>
        <v>8.8170111356309533E-2</v>
      </c>
      <c r="L434" s="6">
        <f t="shared" si="83"/>
        <v>3.5268044542523813</v>
      </c>
      <c r="M434" s="4">
        <f t="shared" si="84"/>
        <v>12228376.208340414</v>
      </c>
      <c r="N434" s="4">
        <f t="shared" si="85"/>
        <v>693453598.97094762</v>
      </c>
      <c r="O434" s="4">
        <f t="shared" si="86"/>
        <v>44601003702.779305</v>
      </c>
      <c r="P434" s="4">
        <f t="shared" si="87"/>
        <v>-3932475463.0772252</v>
      </c>
      <c r="Q434" s="4">
        <f t="shared" si="90"/>
        <v>78865000.435821772</v>
      </c>
      <c r="R434" s="4">
        <f t="shared" si="90"/>
        <v>5072377130.4634018</v>
      </c>
      <c r="S434" s="4">
        <f t="shared" si="90"/>
        <v>-447232056.43415689</v>
      </c>
      <c r="T434" s="3"/>
      <c r="U434" s="4">
        <f t="shared" si="88"/>
        <v>37328104.965375006</v>
      </c>
      <c r="V434">
        <f t="shared" si="89"/>
        <v>691839629299.14331</v>
      </c>
    </row>
    <row r="435" spans="1:22" x14ac:dyDescent="0.5">
      <c r="A435" s="3">
        <v>45</v>
      </c>
      <c r="B435" s="3">
        <v>0.35595390525000004</v>
      </c>
      <c r="C435" s="3">
        <v>5</v>
      </c>
      <c r="D435" s="3">
        <v>40</v>
      </c>
      <c r="E435" s="3">
        <v>7.0000000000000007E-2</v>
      </c>
      <c r="F435" s="3">
        <f t="shared" si="82"/>
        <v>3.2944744252340157</v>
      </c>
      <c r="G435" s="5">
        <v>0.35</v>
      </c>
      <c r="H435" s="4">
        <v>35000000</v>
      </c>
      <c r="I435" s="4">
        <f t="shared" si="92"/>
        <v>12458386.683750002</v>
      </c>
      <c r="J435" s="3">
        <v>210000000000</v>
      </c>
      <c r="K435" s="4">
        <f t="shared" si="93"/>
        <v>8.8170111356309533E-2</v>
      </c>
      <c r="L435" s="6">
        <f t="shared" si="83"/>
        <v>3.5268044542523813</v>
      </c>
      <c r="M435" s="4">
        <f t="shared" si="84"/>
        <v>10924231.333912218</v>
      </c>
      <c r="N435" s="4">
        <f t="shared" si="85"/>
        <v>619497421.85113335</v>
      </c>
      <c r="O435" s="4">
        <f t="shared" si="86"/>
        <v>39844348413.284683</v>
      </c>
      <c r="P435" s="4">
        <f t="shared" si="87"/>
        <v>-3513080636.5189056</v>
      </c>
      <c r="Q435" s="4">
        <f t="shared" si="90"/>
        <v>73956177.119814277</v>
      </c>
      <c r="R435" s="4">
        <f t="shared" si="90"/>
        <v>4756655289.4946213</v>
      </c>
      <c r="S435" s="4">
        <f t="shared" si="90"/>
        <v>-419394826.55831957</v>
      </c>
      <c r="T435" s="3"/>
      <c r="U435" s="4">
        <f t="shared" si="88"/>
        <v>33637644.04612501</v>
      </c>
      <c r="V435">
        <f t="shared" si="89"/>
        <v>691839629299.14331</v>
      </c>
    </row>
    <row r="436" spans="1:22" x14ac:dyDescent="0.5">
      <c r="A436" s="3">
        <v>45</v>
      </c>
      <c r="B436" s="3">
        <v>0.31306017949999998</v>
      </c>
      <c r="C436" s="3">
        <v>5</v>
      </c>
      <c r="D436" s="3">
        <v>40</v>
      </c>
      <c r="E436" s="3">
        <v>7.0000000000000007E-2</v>
      </c>
      <c r="F436" s="3">
        <f t="shared" si="82"/>
        <v>3.2944744252340157</v>
      </c>
      <c r="G436" s="5">
        <v>0.35</v>
      </c>
      <c r="H436" s="4">
        <v>35000000</v>
      </c>
      <c r="I436" s="4">
        <f t="shared" si="92"/>
        <v>10957106.282499999</v>
      </c>
      <c r="J436" s="3">
        <v>210000000000</v>
      </c>
      <c r="K436" s="4">
        <f t="shared" si="93"/>
        <v>8.8170111356309533E-2</v>
      </c>
      <c r="L436" s="6">
        <f t="shared" si="83"/>
        <v>3.5268044542523813</v>
      </c>
      <c r="M436" s="4">
        <f t="shared" si="84"/>
        <v>9505561.9184251744</v>
      </c>
      <c r="N436" s="4">
        <f t="shared" si="85"/>
        <v>539046722.9882288</v>
      </c>
      <c r="O436" s="4">
        <f t="shared" si="86"/>
        <v>34669983577.338509</v>
      </c>
      <c r="P436" s="4">
        <f t="shared" si="87"/>
        <v>-3056856312.7353597</v>
      </c>
      <c r="Q436" s="4">
        <f t="shared" si="90"/>
        <v>80450698.862904549</v>
      </c>
      <c r="R436" s="4">
        <f t="shared" si="90"/>
        <v>5174364835.9461746</v>
      </c>
      <c r="S436" s="4">
        <f t="shared" si="90"/>
        <v>-456224323.78354597</v>
      </c>
      <c r="T436" s="3"/>
      <c r="U436" s="4">
        <f t="shared" si="88"/>
        <v>29584186.962749999</v>
      </c>
      <c r="V436">
        <f t="shared" si="89"/>
        <v>691839629299.14331</v>
      </c>
    </row>
    <row r="437" spans="1:22" x14ac:dyDescent="0.5">
      <c r="A437" s="3">
        <v>45</v>
      </c>
      <c r="B437" s="3">
        <v>0.27032650425000004</v>
      </c>
      <c r="C437" s="3">
        <v>5</v>
      </c>
      <c r="D437" s="3">
        <v>40</v>
      </c>
      <c r="E437" s="3">
        <v>7.0000000000000007E-2</v>
      </c>
      <c r="F437" s="3">
        <f t="shared" si="82"/>
        <v>3.2944744252340157</v>
      </c>
      <c r="G437" s="5">
        <v>0.35</v>
      </c>
      <c r="H437" s="4">
        <v>35000000</v>
      </c>
      <c r="I437" s="4">
        <f t="shared" si="92"/>
        <v>9461427.6487500016</v>
      </c>
      <c r="J437" s="3">
        <v>210000000000</v>
      </c>
      <c r="K437" s="4">
        <f t="shared" si="93"/>
        <v>8.8170111356309533E-2</v>
      </c>
      <c r="L437" s="6">
        <f t="shared" si="83"/>
        <v>3.5268044542523813</v>
      </c>
      <c r="M437" s="4">
        <f t="shared" si="84"/>
        <v>8108247.4363681013</v>
      </c>
      <c r="N437" s="4">
        <f t="shared" si="85"/>
        <v>459807031.63691014</v>
      </c>
      <c r="O437" s="4">
        <f t="shared" si="86"/>
        <v>29573507370.982685</v>
      </c>
      <c r="P437" s="4">
        <f t="shared" si="87"/>
        <v>-2607499438.0961843</v>
      </c>
      <c r="Q437" s="4">
        <f t="shared" si="90"/>
        <v>79239691.351318657</v>
      </c>
      <c r="R437" s="4">
        <f t="shared" si="90"/>
        <v>5096476206.3558235</v>
      </c>
      <c r="S437" s="4">
        <f t="shared" si="90"/>
        <v>-449356874.63917542</v>
      </c>
      <c r="T437" s="3"/>
      <c r="U437" s="4">
        <f t="shared" si="88"/>
        <v>25545854.651625007</v>
      </c>
      <c r="V437">
        <f t="shared" si="89"/>
        <v>691839629299.14331</v>
      </c>
    </row>
    <row r="438" spans="1:22" x14ac:dyDescent="0.5">
      <c r="A438" s="3">
        <v>45</v>
      </c>
      <c r="B438" s="3">
        <v>0.23143405900000003</v>
      </c>
      <c r="C438" s="3">
        <v>5</v>
      </c>
      <c r="D438" s="3">
        <v>40</v>
      </c>
      <c r="E438" s="3">
        <v>7.0000000000000007E-2</v>
      </c>
      <c r="F438" s="3">
        <f t="shared" si="82"/>
        <v>3.2944744252340157</v>
      </c>
      <c r="G438" s="5">
        <v>0.35</v>
      </c>
      <c r="H438" s="4">
        <v>35000000</v>
      </c>
      <c r="I438" s="4">
        <f t="shared" si="92"/>
        <v>8100192.0650000013</v>
      </c>
      <c r="J438" s="3">
        <v>210000000000</v>
      </c>
      <c r="K438" s="4">
        <f t="shared" si="93"/>
        <v>8.8170111356309533E-2</v>
      </c>
      <c r="L438" s="6">
        <f t="shared" si="83"/>
        <v>3.5268044542523813</v>
      </c>
      <c r="M438" s="4">
        <f t="shared" si="84"/>
        <v>6852418.1653711321</v>
      </c>
      <c r="N438" s="4">
        <f t="shared" si="85"/>
        <v>388590762.78578198</v>
      </c>
      <c r="O438" s="4">
        <f t="shared" si="86"/>
        <v>24993075348.651558</v>
      </c>
      <c r="P438" s="4">
        <f t="shared" si="87"/>
        <v>-2203642236.6272426</v>
      </c>
      <c r="Q438" s="4">
        <f t="shared" si="90"/>
        <v>71216268.851128161</v>
      </c>
      <c r="R438" s="4">
        <f t="shared" si="90"/>
        <v>4580432022.3311272</v>
      </c>
      <c r="S438" s="4">
        <f t="shared" si="90"/>
        <v>-403857201.46894169</v>
      </c>
      <c r="T438" s="3"/>
      <c r="U438" s="4">
        <f t="shared" si="88"/>
        <v>21870518.575500004</v>
      </c>
      <c r="V438">
        <f t="shared" si="89"/>
        <v>691839629299.14331</v>
      </c>
    </row>
    <row r="439" spans="1:22" x14ac:dyDescent="0.5">
      <c r="A439" s="3">
        <v>45</v>
      </c>
      <c r="B439" s="3">
        <v>0.18709987175000001</v>
      </c>
      <c r="C439" s="3">
        <v>5</v>
      </c>
      <c r="D439" s="3">
        <v>40</v>
      </c>
      <c r="E439" s="3">
        <v>7.0000000000000007E-2</v>
      </c>
      <c r="F439" s="3">
        <f t="shared" si="82"/>
        <v>3.2944744252340157</v>
      </c>
      <c r="G439" s="5">
        <v>0.35</v>
      </c>
      <c r="H439" s="4">
        <v>35000000</v>
      </c>
      <c r="I439" s="4">
        <f t="shared" si="92"/>
        <v>6548495.5112500004</v>
      </c>
      <c r="J439" s="3">
        <v>210000000000</v>
      </c>
      <c r="K439" s="4">
        <f t="shared" si="93"/>
        <v>8.8170111356309533E-2</v>
      </c>
      <c r="L439" s="6">
        <f t="shared" si="83"/>
        <v>3.5268044542523813</v>
      </c>
      <c r="M439" s="4">
        <f t="shared" si="84"/>
        <v>5442443.4690096602</v>
      </c>
      <c r="N439" s="4">
        <f t="shared" si="85"/>
        <v>308633128.91915691</v>
      </c>
      <c r="O439" s="4">
        <f t="shared" si="86"/>
        <v>19850423079.714062</v>
      </c>
      <c r="P439" s="4">
        <f t="shared" si="87"/>
        <v>-1750214013.4082458</v>
      </c>
      <c r="Q439" s="4">
        <f t="shared" si="90"/>
        <v>79957633.866625071</v>
      </c>
      <c r="R439" s="4">
        <f t="shared" si="90"/>
        <v>5142652268.9374962</v>
      </c>
      <c r="S439" s="4">
        <f t="shared" si="90"/>
        <v>-453428223.21899676</v>
      </c>
      <c r="T439" s="3"/>
      <c r="U439" s="4">
        <f t="shared" si="88"/>
        <v>17680937.880375002</v>
      </c>
      <c r="V439">
        <f t="shared" si="89"/>
        <v>691839629299.14331</v>
      </c>
    </row>
    <row r="440" spans="1:22" x14ac:dyDescent="0.5">
      <c r="A440" s="3">
        <v>45</v>
      </c>
      <c r="B440" s="3">
        <v>0.15508962874999999</v>
      </c>
      <c r="C440" s="3">
        <v>5</v>
      </c>
      <c r="D440" s="3">
        <v>40</v>
      </c>
      <c r="E440" s="3">
        <v>7.0000000000000007E-2</v>
      </c>
      <c r="F440" s="3">
        <f t="shared" si="82"/>
        <v>3.2944744252340157</v>
      </c>
      <c r="G440" s="5">
        <v>0.35</v>
      </c>
      <c r="H440" s="4">
        <v>35000000</v>
      </c>
      <c r="I440" s="4">
        <f t="shared" si="92"/>
        <v>5428137.0062499996</v>
      </c>
      <c r="J440" s="3">
        <v>210000000000</v>
      </c>
      <c r="K440" s="4">
        <f t="shared" si="93"/>
        <v>8.8170111356309533E-2</v>
      </c>
      <c r="L440" s="6">
        <f t="shared" si="83"/>
        <v>3.5268044542523813</v>
      </c>
      <c r="M440" s="4">
        <f t="shared" si="84"/>
        <v>4441322.3859094735</v>
      </c>
      <c r="N440" s="4">
        <f t="shared" si="85"/>
        <v>251860994.47926176</v>
      </c>
      <c r="O440" s="4">
        <f t="shared" si="86"/>
        <v>16198997545.077057</v>
      </c>
      <c r="P440" s="4">
        <f t="shared" si="87"/>
        <v>-1428267417.4100289</v>
      </c>
      <c r="Q440" s="4">
        <f t="shared" si="90"/>
        <v>56772134.439895153</v>
      </c>
      <c r="R440" s="4">
        <f t="shared" si="90"/>
        <v>3651425534.6370049</v>
      </c>
      <c r="S440" s="4">
        <f t="shared" si="90"/>
        <v>-321946595.99821687</v>
      </c>
      <c r="T440" s="3"/>
      <c r="U440" s="4">
        <f t="shared" si="88"/>
        <v>14655969.916874999</v>
      </c>
      <c r="V440">
        <f t="shared" si="89"/>
        <v>691839629299.14331</v>
      </c>
    </row>
    <row r="441" spans="1:22" x14ac:dyDescent="0.5">
      <c r="A441" s="3">
        <v>45</v>
      </c>
      <c r="B441" s="3">
        <v>0.12740076775</v>
      </c>
      <c r="C441" s="3">
        <v>5</v>
      </c>
      <c r="D441" s="3">
        <v>40</v>
      </c>
      <c r="E441" s="3">
        <v>7.0000000000000007E-2</v>
      </c>
      <c r="F441" s="3">
        <f t="shared" si="82"/>
        <v>3.2944744252340157</v>
      </c>
      <c r="G441" s="5">
        <v>0.35</v>
      </c>
      <c r="H441" s="4">
        <v>35000000</v>
      </c>
      <c r="I441" s="4">
        <f t="shared" si="92"/>
        <v>4459026.8712499999</v>
      </c>
      <c r="J441" s="3">
        <v>210000000000</v>
      </c>
      <c r="K441" s="4">
        <f t="shared" si="93"/>
        <v>8.8170111356309533E-2</v>
      </c>
      <c r="L441" s="6">
        <f t="shared" si="83"/>
        <v>3.5268044542523813</v>
      </c>
      <c r="M441" s="4">
        <f t="shared" si="84"/>
        <v>3589087.3514074045</v>
      </c>
      <c r="N441" s="4">
        <f t="shared" si="85"/>
        <v>203531973.37493017</v>
      </c>
      <c r="O441" s="4">
        <f t="shared" si="86"/>
        <v>13090609539.845438</v>
      </c>
      <c r="P441" s="4">
        <f t="shared" si="87"/>
        <v>-1154200500.8501401</v>
      </c>
      <c r="Q441" s="4">
        <f t="shared" si="90"/>
        <v>48329021.104331583</v>
      </c>
      <c r="R441" s="4">
        <f t="shared" si="90"/>
        <v>3108388005.2316189</v>
      </c>
      <c r="S441" s="4">
        <f t="shared" si="90"/>
        <v>-274066916.55988884</v>
      </c>
      <c r="T441" s="3"/>
      <c r="U441" s="4">
        <f t="shared" si="88"/>
        <v>12039372.552375</v>
      </c>
      <c r="V441">
        <f t="shared" si="89"/>
        <v>691839629299.14331</v>
      </c>
    </row>
    <row r="442" spans="1:22" x14ac:dyDescent="0.5">
      <c r="A442" s="3">
        <v>50</v>
      </c>
      <c r="B442" s="5">
        <v>1</v>
      </c>
      <c r="C442" s="3">
        <v>5</v>
      </c>
      <c r="D442" s="3">
        <v>20</v>
      </c>
      <c r="E442" s="3">
        <v>0.05</v>
      </c>
      <c r="F442" s="3">
        <f t="shared" si="82"/>
        <v>2.3817145262624893</v>
      </c>
      <c r="G442" s="5">
        <v>0.4</v>
      </c>
      <c r="H442" s="4">
        <v>40000000</v>
      </c>
      <c r="I442" s="4">
        <f>B442*$H$442</f>
        <v>40000000</v>
      </c>
      <c r="J442" s="3">
        <v>210000000000</v>
      </c>
      <c r="K442" s="4">
        <f>(($M$442*C442)/(4*J442*F442))^(1/4)</f>
        <v>0.10291630386747225</v>
      </c>
      <c r="L442" s="6">
        <f t="shared" si="83"/>
        <v>2.0583260773494452</v>
      </c>
      <c r="M442" s="4">
        <f t="shared" si="84"/>
        <v>44888563.702364422</v>
      </c>
      <c r="N442" s="4">
        <f t="shared" si="85"/>
        <v>4488856370.2364426</v>
      </c>
      <c r="O442" s="4">
        <f t="shared" si="86"/>
        <v>598514182698.19226</v>
      </c>
      <c r="P442" s="4">
        <f t="shared" si="87"/>
        <v>-44888563702.364418</v>
      </c>
      <c r="Q442" s="4">
        <f>N442</f>
        <v>4488856370.2364426</v>
      </c>
      <c r="R442" s="4">
        <f t="shared" ref="R442:S442" si="94">O442</f>
        <v>598514182698.19226</v>
      </c>
      <c r="S442" s="4">
        <f t="shared" si="94"/>
        <v>-44888563702.364418</v>
      </c>
      <c r="T442" s="3"/>
      <c r="U442" s="4">
        <f t="shared" si="88"/>
        <v>112000000</v>
      </c>
      <c r="V442">
        <f t="shared" si="89"/>
        <v>500160050515.12274</v>
      </c>
    </row>
    <row r="443" spans="1:22" x14ac:dyDescent="0.5">
      <c r="A443" s="3">
        <v>50</v>
      </c>
      <c r="B443" s="5">
        <v>1</v>
      </c>
      <c r="C443" s="3">
        <v>5</v>
      </c>
      <c r="D443" s="3">
        <v>20</v>
      </c>
      <c r="E443" s="3">
        <v>0.05</v>
      </c>
      <c r="F443" s="3">
        <f t="shared" si="82"/>
        <v>2.3817145262624893</v>
      </c>
      <c r="G443" s="5">
        <v>0.4</v>
      </c>
      <c r="H443" s="4">
        <v>40000000</v>
      </c>
      <c r="I443" s="4">
        <f t="shared" ref="I443:I485" si="95">B443*$H$442</f>
        <v>40000000</v>
      </c>
      <c r="J443" s="3">
        <v>210000000000</v>
      </c>
      <c r="K443" s="4">
        <f t="shared" ref="K443:K485" si="96">(($M$442*C443)/(4*J443*F443))^(1/4)</f>
        <v>0.10291630386747225</v>
      </c>
      <c r="L443" s="6">
        <f t="shared" si="83"/>
        <v>2.0583260773494452</v>
      </c>
      <c r="M443" s="4">
        <f t="shared" si="84"/>
        <v>44888563.702364422</v>
      </c>
      <c r="N443" s="4">
        <f t="shared" si="85"/>
        <v>4488856370.2364426</v>
      </c>
      <c r="O443" s="4">
        <f t="shared" si="86"/>
        <v>598514182698.19226</v>
      </c>
      <c r="P443" s="4">
        <f t="shared" si="87"/>
        <v>-44888563702.364418</v>
      </c>
      <c r="Q443" s="4">
        <f t="shared" si="90"/>
        <v>0</v>
      </c>
      <c r="R443" s="4">
        <f t="shared" si="90"/>
        <v>0</v>
      </c>
      <c r="S443" s="4">
        <f t="shared" si="90"/>
        <v>0</v>
      </c>
      <c r="T443" s="3"/>
      <c r="U443" s="4">
        <f t="shared" si="88"/>
        <v>112000000</v>
      </c>
      <c r="V443">
        <f t="shared" si="89"/>
        <v>500160050515.12274</v>
      </c>
    </row>
    <row r="444" spans="1:22" x14ac:dyDescent="0.5">
      <c r="A444" s="3">
        <v>50</v>
      </c>
      <c r="B444" s="5">
        <v>1</v>
      </c>
      <c r="C444" s="3">
        <v>5</v>
      </c>
      <c r="D444" s="3">
        <v>20</v>
      </c>
      <c r="E444" s="3">
        <v>0.05</v>
      </c>
      <c r="F444" s="3">
        <f t="shared" si="82"/>
        <v>2.3817145262624893</v>
      </c>
      <c r="G444" s="5">
        <v>0.4</v>
      </c>
      <c r="H444" s="4">
        <v>40000000</v>
      </c>
      <c r="I444" s="4">
        <f t="shared" si="95"/>
        <v>40000000</v>
      </c>
      <c r="J444" s="3">
        <v>210000000000</v>
      </c>
      <c r="K444" s="4">
        <f t="shared" si="96"/>
        <v>0.10291630386747225</v>
      </c>
      <c r="L444" s="6">
        <f t="shared" si="83"/>
        <v>2.0583260773494452</v>
      </c>
      <c r="M444" s="4">
        <f t="shared" si="84"/>
        <v>44888563.702364422</v>
      </c>
      <c r="N444" s="4">
        <f t="shared" si="85"/>
        <v>4488856370.2364426</v>
      </c>
      <c r="O444" s="4">
        <f t="shared" si="86"/>
        <v>598514182698.19226</v>
      </c>
      <c r="P444" s="4">
        <f t="shared" si="87"/>
        <v>-44888563702.364418</v>
      </c>
      <c r="Q444" s="4">
        <f t="shared" si="90"/>
        <v>0</v>
      </c>
      <c r="R444" s="4">
        <f t="shared" si="90"/>
        <v>0</v>
      </c>
      <c r="S444" s="4">
        <f t="shared" si="90"/>
        <v>0</v>
      </c>
      <c r="T444" s="3"/>
      <c r="U444" s="4">
        <f t="shared" si="88"/>
        <v>112000000</v>
      </c>
      <c r="V444">
        <f t="shared" si="89"/>
        <v>500160050515.12274</v>
      </c>
    </row>
    <row r="445" spans="1:22" x14ac:dyDescent="0.5">
      <c r="A445" s="3">
        <v>50</v>
      </c>
      <c r="B445" s="5">
        <v>1</v>
      </c>
      <c r="C445" s="3">
        <v>5</v>
      </c>
      <c r="D445" s="3">
        <v>20</v>
      </c>
      <c r="E445" s="3">
        <v>0.05</v>
      </c>
      <c r="F445" s="3">
        <f t="shared" si="82"/>
        <v>2.3817145262624893</v>
      </c>
      <c r="G445" s="5">
        <v>0.4</v>
      </c>
      <c r="H445" s="4">
        <v>40000000</v>
      </c>
      <c r="I445" s="4">
        <f t="shared" si="95"/>
        <v>40000000</v>
      </c>
      <c r="J445" s="3">
        <v>210000000000</v>
      </c>
      <c r="K445" s="4">
        <f t="shared" si="96"/>
        <v>0.10291630386747225</v>
      </c>
      <c r="L445" s="6">
        <f t="shared" si="83"/>
        <v>2.0583260773494452</v>
      </c>
      <c r="M445" s="4">
        <f t="shared" si="84"/>
        <v>44888563.702364422</v>
      </c>
      <c r="N445" s="4">
        <f t="shared" si="85"/>
        <v>4488856370.2364426</v>
      </c>
      <c r="O445" s="4">
        <f t="shared" si="86"/>
        <v>598514182698.19226</v>
      </c>
      <c r="P445" s="4">
        <f t="shared" si="87"/>
        <v>-44888563702.364418</v>
      </c>
      <c r="Q445" s="4">
        <f t="shared" si="90"/>
        <v>0</v>
      </c>
      <c r="R445" s="4">
        <f t="shared" si="90"/>
        <v>0</v>
      </c>
      <c r="S445" s="4">
        <f t="shared" si="90"/>
        <v>0</v>
      </c>
      <c r="T445" s="3"/>
      <c r="U445" s="4">
        <f t="shared" si="88"/>
        <v>112000000</v>
      </c>
      <c r="V445">
        <f t="shared" si="89"/>
        <v>500160050515.12274</v>
      </c>
    </row>
    <row r="446" spans="1:22" x14ac:dyDescent="0.5">
      <c r="A446" s="3">
        <v>50</v>
      </c>
      <c r="B446" s="5">
        <v>1</v>
      </c>
      <c r="C446" s="3">
        <v>5</v>
      </c>
      <c r="D446" s="3">
        <v>20</v>
      </c>
      <c r="E446" s="3">
        <v>0.05</v>
      </c>
      <c r="F446" s="3">
        <f t="shared" si="82"/>
        <v>2.3817145262624893</v>
      </c>
      <c r="G446" s="5">
        <v>0.4</v>
      </c>
      <c r="H446" s="4">
        <v>40000000</v>
      </c>
      <c r="I446" s="4">
        <f t="shared" si="95"/>
        <v>40000000</v>
      </c>
      <c r="J446" s="3">
        <v>210000000000</v>
      </c>
      <c r="K446" s="4">
        <f t="shared" si="96"/>
        <v>0.10291630386747225</v>
      </c>
      <c r="L446" s="6">
        <f t="shared" si="83"/>
        <v>2.0583260773494452</v>
      </c>
      <c r="M446" s="4">
        <f t="shared" si="84"/>
        <v>44888563.702364422</v>
      </c>
      <c r="N446" s="4">
        <f t="shared" si="85"/>
        <v>4488856370.2364426</v>
      </c>
      <c r="O446" s="4">
        <f t="shared" si="86"/>
        <v>598514182698.19226</v>
      </c>
      <c r="P446" s="4">
        <f t="shared" si="87"/>
        <v>-44888563702.364418</v>
      </c>
      <c r="Q446" s="4">
        <f t="shared" si="90"/>
        <v>0</v>
      </c>
      <c r="R446" s="4">
        <f t="shared" si="90"/>
        <v>0</v>
      </c>
      <c r="S446" s="4">
        <f t="shared" si="90"/>
        <v>0</v>
      </c>
      <c r="T446" s="3"/>
      <c r="U446" s="4">
        <f t="shared" si="88"/>
        <v>112000000</v>
      </c>
      <c r="V446">
        <f t="shared" si="89"/>
        <v>500160050515.12274</v>
      </c>
    </row>
    <row r="447" spans="1:22" x14ac:dyDescent="0.5">
      <c r="A447" s="3">
        <v>50</v>
      </c>
      <c r="B447" s="5">
        <v>1</v>
      </c>
      <c r="C447" s="3">
        <v>5</v>
      </c>
      <c r="D447" s="3">
        <v>20</v>
      </c>
      <c r="E447" s="3">
        <v>0.05</v>
      </c>
      <c r="F447" s="3">
        <f t="shared" si="82"/>
        <v>2.3817145262624893</v>
      </c>
      <c r="G447" s="5">
        <v>0.4</v>
      </c>
      <c r="H447" s="4">
        <v>40000000</v>
      </c>
      <c r="I447" s="4">
        <f t="shared" si="95"/>
        <v>40000000</v>
      </c>
      <c r="J447" s="3">
        <v>210000000000</v>
      </c>
      <c r="K447" s="4">
        <f t="shared" si="96"/>
        <v>0.10291630386747225</v>
      </c>
      <c r="L447" s="6">
        <f t="shared" si="83"/>
        <v>2.0583260773494452</v>
      </c>
      <c r="M447" s="4">
        <f t="shared" si="84"/>
        <v>44888563.702364422</v>
      </c>
      <c r="N447" s="4">
        <f t="shared" si="85"/>
        <v>4488856370.2364426</v>
      </c>
      <c r="O447" s="4">
        <f t="shared" si="86"/>
        <v>598514182698.19226</v>
      </c>
      <c r="P447" s="4">
        <f t="shared" si="87"/>
        <v>-44888563702.364418</v>
      </c>
      <c r="Q447" s="4">
        <f t="shared" si="90"/>
        <v>0</v>
      </c>
      <c r="R447" s="4">
        <f t="shared" si="90"/>
        <v>0</v>
      </c>
      <c r="S447" s="4">
        <f t="shared" si="90"/>
        <v>0</v>
      </c>
      <c r="T447" s="3"/>
      <c r="U447" s="4">
        <f t="shared" si="88"/>
        <v>112000000</v>
      </c>
      <c r="V447">
        <f t="shared" si="89"/>
        <v>500160050515.12274</v>
      </c>
    </row>
    <row r="448" spans="1:22" x14ac:dyDescent="0.5">
      <c r="A448" s="3">
        <v>50</v>
      </c>
      <c r="B448" s="5">
        <v>1</v>
      </c>
      <c r="C448" s="3">
        <v>5</v>
      </c>
      <c r="D448" s="3">
        <v>20</v>
      </c>
      <c r="E448" s="3">
        <v>0.05</v>
      </c>
      <c r="F448" s="3">
        <f t="shared" si="82"/>
        <v>2.3817145262624893</v>
      </c>
      <c r="G448" s="5">
        <v>0.4</v>
      </c>
      <c r="H448" s="4">
        <v>40000000</v>
      </c>
      <c r="I448" s="4">
        <f t="shared" si="95"/>
        <v>40000000</v>
      </c>
      <c r="J448" s="3">
        <v>210000000000</v>
      </c>
      <c r="K448" s="4">
        <f t="shared" si="96"/>
        <v>0.10291630386747225</v>
      </c>
      <c r="L448" s="6">
        <f t="shared" si="83"/>
        <v>2.0583260773494452</v>
      </c>
      <c r="M448" s="4">
        <f t="shared" si="84"/>
        <v>44888563.702364422</v>
      </c>
      <c r="N448" s="4">
        <f t="shared" si="85"/>
        <v>4488856370.2364426</v>
      </c>
      <c r="O448" s="4">
        <f t="shared" si="86"/>
        <v>598514182698.19226</v>
      </c>
      <c r="P448" s="4">
        <f t="shared" si="87"/>
        <v>-44888563702.364418</v>
      </c>
      <c r="Q448" s="4">
        <f t="shared" si="90"/>
        <v>0</v>
      </c>
      <c r="R448" s="4">
        <f t="shared" si="90"/>
        <v>0</v>
      </c>
      <c r="S448" s="4">
        <f t="shared" si="90"/>
        <v>0</v>
      </c>
      <c r="T448" s="3"/>
      <c r="U448" s="4">
        <f t="shared" si="88"/>
        <v>112000000</v>
      </c>
      <c r="V448">
        <f t="shared" si="89"/>
        <v>500160050515.12274</v>
      </c>
    </row>
    <row r="449" spans="1:22" x14ac:dyDescent="0.5">
      <c r="A449" s="3">
        <v>50</v>
      </c>
      <c r="B449" s="5">
        <v>1</v>
      </c>
      <c r="C449" s="3">
        <v>5</v>
      </c>
      <c r="D449" s="3">
        <v>20</v>
      </c>
      <c r="E449" s="3">
        <v>0.05</v>
      </c>
      <c r="F449" s="3">
        <f t="shared" si="82"/>
        <v>2.3817145262624893</v>
      </c>
      <c r="G449" s="5">
        <v>0.4</v>
      </c>
      <c r="H449" s="4">
        <v>40000000</v>
      </c>
      <c r="I449" s="4">
        <f t="shared" si="95"/>
        <v>40000000</v>
      </c>
      <c r="J449" s="3">
        <v>210000000000</v>
      </c>
      <c r="K449" s="4">
        <f t="shared" si="96"/>
        <v>0.10291630386747225</v>
      </c>
      <c r="L449" s="6">
        <f t="shared" si="83"/>
        <v>2.0583260773494452</v>
      </c>
      <c r="M449" s="4">
        <f t="shared" si="84"/>
        <v>44888563.702364422</v>
      </c>
      <c r="N449" s="4">
        <f t="shared" si="85"/>
        <v>4488856370.2364426</v>
      </c>
      <c r="O449" s="4">
        <f t="shared" si="86"/>
        <v>598514182698.19226</v>
      </c>
      <c r="P449" s="4">
        <f t="shared" si="87"/>
        <v>-44888563702.364418</v>
      </c>
      <c r="Q449" s="4">
        <f t="shared" si="90"/>
        <v>0</v>
      </c>
      <c r="R449" s="4">
        <f t="shared" si="90"/>
        <v>0</v>
      </c>
      <c r="S449" s="4">
        <f t="shared" si="90"/>
        <v>0</v>
      </c>
      <c r="T449" s="3"/>
      <c r="U449" s="4">
        <f t="shared" si="88"/>
        <v>112000000</v>
      </c>
      <c r="V449">
        <f t="shared" si="89"/>
        <v>500160050515.12274</v>
      </c>
    </row>
    <row r="450" spans="1:22" x14ac:dyDescent="0.5">
      <c r="A450" s="3">
        <v>50</v>
      </c>
      <c r="B450" s="5">
        <v>1</v>
      </c>
      <c r="C450" s="3">
        <v>5</v>
      </c>
      <c r="D450" s="3">
        <v>20</v>
      </c>
      <c r="E450" s="3">
        <v>0.05</v>
      </c>
      <c r="F450" s="3">
        <f t="shared" si="82"/>
        <v>2.3817145262624893</v>
      </c>
      <c r="G450" s="5">
        <v>0.4</v>
      </c>
      <c r="H450" s="4">
        <v>40000000</v>
      </c>
      <c r="I450" s="4">
        <f t="shared" si="95"/>
        <v>40000000</v>
      </c>
      <c r="J450" s="3">
        <v>210000000000</v>
      </c>
      <c r="K450" s="4">
        <f t="shared" si="96"/>
        <v>0.10291630386747225</v>
      </c>
      <c r="L450" s="6">
        <f t="shared" si="83"/>
        <v>2.0583260773494452</v>
      </c>
      <c r="M450" s="4">
        <f t="shared" si="84"/>
        <v>44888563.702364422</v>
      </c>
      <c r="N450" s="4">
        <f t="shared" si="85"/>
        <v>4488856370.2364426</v>
      </c>
      <c r="O450" s="4">
        <f t="shared" si="86"/>
        <v>598514182698.19226</v>
      </c>
      <c r="P450" s="4">
        <f t="shared" si="87"/>
        <v>-44888563702.364418</v>
      </c>
      <c r="Q450" s="4">
        <f t="shared" si="90"/>
        <v>0</v>
      </c>
      <c r="R450" s="4">
        <f t="shared" si="90"/>
        <v>0</v>
      </c>
      <c r="S450" s="4">
        <f t="shared" si="90"/>
        <v>0</v>
      </c>
      <c r="T450" s="3"/>
      <c r="U450" s="4">
        <f t="shared" si="88"/>
        <v>112000000</v>
      </c>
      <c r="V450">
        <f t="shared" si="89"/>
        <v>500160050515.12274</v>
      </c>
    </row>
    <row r="451" spans="1:22" x14ac:dyDescent="0.5">
      <c r="A451" s="3">
        <v>50</v>
      </c>
      <c r="B451" s="5">
        <v>1</v>
      </c>
      <c r="C451" s="3">
        <v>5</v>
      </c>
      <c r="D451" s="3">
        <v>20</v>
      </c>
      <c r="E451" s="3">
        <v>0.05</v>
      </c>
      <c r="F451" s="3">
        <f t="shared" ref="F451:F514" si="97">(3.141592*((C451^4)-(C451-(2*E451))^4))/64</f>
        <v>2.3817145262624893</v>
      </c>
      <c r="G451" s="5">
        <v>0.4</v>
      </c>
      <c r="H451" s="4">
        <v>40000000</v>
      </c>
      <c r="I451" s="4">
        <f t="shared" si="95"/>
        <v>40000000</v>
      </c>
      <c r="J451" s="3">
        <v>210000000000</v>
      </c>
      <c r="K451" s="4">
        <f t="shared" si="96"/>
        <v>0.10291630386747225</v>
      </c>
      <c r="L451" s="6">
        <f t="shared" ref="L451:L514" si="98">K451*D451</f>
        <v>2.0583260773494452</v>
      </c>
      <c r="M451" s="4">
        <f t="shared" ref="M451:M514" si="99">(0.65/C451)*(((2*U451*(1+G451)*C451^4)/(J451*F451))^(1/12))*((2*U451*(1+G451))/(1-G451^2))</f>
        <v>44888563.702364422</v>
      </c>
      <c r="N451" s="4">
        <f t="shared" ref="N451:N514" si="100">IF(L451&gt;=2.5,M451*C451/K451,M451*C451*D451)</f>
        <v>4488856370.2364426</v>
      </c>
      <c r="O451" s="4">
        <f t="shared" ref="O451:O514" si="101">IF(L451&gt;=2.5,M451*C451/(2*K451^3),M451*C451*(D451^3)/3)</f>
        <v>598514182698.19226</v>
      </c>
      <c r="P451" s="4">
        <f t="shared" ref="P451:P514" si="102">IF(L451&gt;=2.5,-(M451*C451/(2*K451^2)),-(M451*C451*(D451^2)/2))</f>
        <v>-44888563702.364418</v>
      </c>
      <c r="Q451" s="4">
        <f t="shared" si="90"/>
        <v>0</v>
      </c>
      <c r="R451" s="4">
        <f t="shared" si="90"/>
        <v>0</v>
      </c>
      <c r="S451" s="4">
        <f t="shared" si="90"/>
        <v>0</v>
      </c>
      <c r="T451" s="3"/>
      <c r="U451" s="4">
        <f t="shared" ref="U451:U514" si="103">2*I451*(G451+1)</f>
        <v>112000000</v>
      </c>
      <c r="V451">
        <f t="shared" ref="V451:V514" si="104">J451*F451</f>
        <v>500160050515.12274</v>
      </c>
    </row>
    <row r="452" spans="1:22" x14ac:dyDescent="0.5">
      <c r="A452" s="3">
        <v>50</v>
      </c>
      <c r="B452" s="5">
        <v>1</v>
      </c>
      <c r="C452" s="3">
        <v>5</v>
      </c>
      <c r="D452" s="3">
        <v>20</v>
      </c>
      <c r="E452" s="3">
        <v>0.05</v>
      </c>
      <c r="F452" s="3">
        <f t="shared" si="97"/>
        <v>2.3817145262624893</v>
      </c>
      <c r="G452" s="5">
        <v>0.4</v>
      </c>
      <c r="H452" s="4">
        <v>40000000</v>
      </c>
      <c r="I452" s="4">
        <f t="shared" si="95"/>
        <v>40000000</v>
      </c>
      <c r="J452" s="3">
        <v>210000000000</v>
      </c>
      <c r="K452" s="4">
        <f t="shared" si="96"/>
        <v>0.10291630386747225</v>
      </c>
      <c r="L452" s="6">
        <f t="shared" si="98"/>
        <v>2.0583260773494452</v>
      </c>
      <c r="M452" s="4">
        <f t="shared" si="99"/>
        <v>44888563.702364422</v>
      </c>
      <c r="N452" s="4">
        <f t="shared" si="100"/>
        <v>4488856370.2364426</v>
      </c>
      <c r="O452" s="4">
        <f t="shared" si="101"/>
        <v>598514182698.19226</v>
      </c>
      <c r="P452" s="4">
        <f t="shared" si="102"/>
        <v>-44888563702.364418</v>
      </c>
      <c r="Q452" s="4">
        <f t="shared" ref="Q452:S515" si="105">N451-N452</f>
        <v>0</v>
      </c>
      <c r="R452" s="4">
        <f t="shared" si="105"/>
        <v>0</v>
      </c>
      <c r="S452" s="4">
        <f t="shared" si="105"/>
        <v>0</v>
      </c>
      <c r="T452" s="3"/>
      <c r="U452" s="4">
        <f t="shared" si="103"/>
        <v>112000000</v>
      </c>
      <c r="V452">
        <f t="shared" si="104"/>
        <v>500160050515.12274</v>
      </c>
    </row>
    <row r="453" spans="1:22" x14ac:dyDescent="0.5">
      <c r="A453" s="3">
        <v>50</v>
      </c>
      <c r="B453" s="5">
        <v>1</v>
      </c>
      <c r="C453" s="3">
        <v>5</v>
      </c>
      <c r="D453" s="3">
        <v>20</v>
      </c>
      <c r="E453" s="3">
        <v>0.05</v>
      </c>
      <c r="F453" s="3">
        <f t="shared" si="97"/>
        <v>2.3817145262624893</v>
      </c>
      <c r="G453" s="5">
        <v>0.4</v>
      </c>
      <c r="H453" s="4">
        <v>40000000</v>
      </c>
      <c r="I453" s="4">
        <f t="shared" si="95"/>
        <v>40000000</v>
      </c>
      <c r="J453" s="3">
        <v>210000000000</v>
      </c>
      <c r="K453" s="4">
        <f t="shared" si="96"/>
        <v>0.10291630386747225</v>
      </c>
      <c r="L453" s="6">
        <f t="shared" si="98"/>
        <v>2.0583260773494452</v>
      </c>
      <c r="M453" s="4">
        <f t="shared" si="99"/>
        <v>44888563.702364422</v>
      </c>
      <c r="N453" s="4">
        <f t="shared" si="100"/>
        <v>4488856370.2364426</v>
      </c>
      <c r="O453" s="4">
        <f t="shared" si="101"/>
        <v>598514182698.19226</v>
      </c>
      <c r="P453" s="4">
        <f t="shared" si="102"/>
        <v>-44888563702.364418</v>
      </c>
      <c r="Q453" s="4">
        <f t="shared" si="105"/>
        <v>0</v>
      </c>
      <c r="R453" s="4">
        <f t="shared" si="105"/>
        <v>0</v>
      </c>
      <c r="S453" s="4">
        <f t="shared" si="105"/>
        <v>0</v>
      </c>
      <c r="T453" s="3"/>
      <c r="U453" s="4">
        <f t="shared" si="103"/>
        <v>112000000</v>
      </c>
      <c r="V453">
        <f t="shared" si="104"/>
        <v>500160050515.12274</v>
      </c>
    </row>
    <row r="454" spans="1:22" x14ac:dyDescent="0.5">
      <c r="A454" s="3">
        <v>50</v>
      </c>
      <c r="B454" s="5">
        <v>1</v>
      </c>
      <c r="C454" s="3">
        <v>5</v>
      </c>
      <c r="D454" s="3">
        <v>20</v>
      </c>
      <c r="E454" s="3">
        <v>0.05</v>
      </c>
      <c r="F454" s="3">
        <f t="shared" si="97"/>
        <v>2.3817145262624893</v>
      </c>
      <c r="G454" s="5">
        <v>0.4</v>
      </c>
      <c r="H454" s="4">
        <v>40000000</v>
      </c>
      <c r="I454" s="4">
        <f t="shared" si="95"/>
        <v>40000000</v>
      </c>
      <c r="J454" s="3">
        <v>210000000000</v>
      </c>
      <c r="K454" s="4">
        <f t="shared" si="96"/>
        <v>0.10291630386747225</v>
      </c>
      <c r="L454" s="6">
        <f t="shared" si="98"/>
        <v>2.0583260773494452</v>
      </c>
      <c r="M454" s="4">
        <f t="shared" si="99"/>
        <v>44888563.702364422</v>
      </c>
      <c r="N454" s="4">
        <f t="shared" si="100"/>
        <v>4488856370.2364426</v>
      </c>
      <c r="O454" s="4">
        <f t="shared" si="101"/>
        <v>598514182698.19226</v>
      </c>
      <c r="P454" s="4">
        <f t="shared" si="102"/>
        <v>-44888563702.364418</v>
      </c>
      <c r="Q454" s="4">
        <f t="shared" si="105"/>
        <v>0</v>
      </c>
      <c r="R454" s="4">
        <f t="shared" si="105"/>
        <v>0</v>
      </c>
      <c r="S454" s="4">
        <f t="shared" si="105"/>
        <v>0</v>
      </c>
      <c r="T454" s="3"/>
      <c r="U454" s="4">
        <f t="shared" si="103"/>
        <v>112000000</v>
      </c>
      <c r="V454">
        <f t="shared" si="104"/>
        <v>500160050515.12274</v>
      </c>
    </row>
    <row r="455" spans="1:22" x14ac:dyDescent="0.5">
      <c r="A455" s="3">
        <v>50</v>
      </c>
      <c r="B455" s="5">
        <v>1</v>
      </c>
      <c r="C455" s="3">
        <v>5</v>
      </c>
      <c r="D455" s="3">
        <v>20</v>
      </c>
      <c r="E455" s="3">
        <v>0.05</v>
      </c>
      <c r="F455" s="3">
        <f t="shared" si="97"/>
        <v>2.3817145262624893</v>
      </c>
      <c r="G455" s="5">
        <v>0.4</v>
      </c>
      <c r="H455" s="4">
        <v>40000000</v>
      </c>
      <c r="I455" s="4">
        <f t="shared" si="95"/>
        <v>40000000</v>
      </c>
      <c r="J455" s="3">
        <v>210000000000</v>
      </c>
      <c r="K455" s="4">
        <f t="shared" si="96"/>
        <v>0.10291630386747225</v>
      </c>
      <c r="L455" s="6">
        <f t="shared" si="98"/>
        <v>2.0583260773494452</v>
      </c>
      <c r="M455" s="4">
        <f t="shared" si="99"/>
        <v>44888563.702364422</v>
      </c>
      <c r="N455" s="4">
        <f t="shared" si="100"/>
        <v>4488856370.2364426</v>
      </c>
      <c r="O455" s="4">
        <f t="shared" si="101"/>
        <v>598514182698.19226</v>
      </c>
      <c r="P455" s="4">
        <f t="shared" si="102"/>
        <v>-44888563702.364418</v>
      </c>
      <c r="Q455" s="4">
        <f t="shared" si="105"/>
        <v>0</v>
      </c>
      <c r="R455" s="4">
        <f t="shared" si="105"/>
        <v>0</v>
      </c>
      <c r="S455" s="4">
        <f t="shared" si="105"/>
        <v>0</v>
      </c>
      <c r="T455" s="3"/>
      <c r="U455" s="4">
        <f t="shared" si="103"/>
        <v>112000000</v>
      </c>
      <c r="V455">
        <f t="shared" si="104"/>
        <v>500160050515.12274</v>
      </c>
    </row>
    <row r="456" spans="1:22" x14ac:dyDescent="0.5">
      <c r="A456" s="3">
        <v>50</v>
      </c>
      <c r="B456" s="5">
        <v>1</v>
      </c>
      <c r="C456" s="3">
        <v>5</v>
      </c>
      <c r="D456" s="3">
        <v>20</v>
      </c>
      <c r="E456" s="3">
        <v>0.05</v>
      </c>
      <c r="F456" s="3">
        <f t="shared" si="97"/>
        <v>2.3817145262624893</v>
      </c>
      <c r="G456" s="5">
        <v>0.4</v>
      </c>
      <c r="H456" s="4">
        <v>40000000</v>
      </c>
      <c r="I456" s="4">
        <f t="shared" si="95"/>
        <v>40000000</v>
      </c>
      <c r="J456" s="3">
        <v>210000000000</v>
      </c>
      <c r="K456" s="4">
        <f t="shared" si="96"/>
        <v>0.10291630386747225</v>
      </c>
      <c r="L456" s="6">
        <f t="shared" si="98"/>
        <v>2.0583260773494452</v>
      </c>
      <c r="M456" s="4">
        <f t="shared" si="99"/>
        <v>44888563.702364422</v>
      </c>
      <c r="N456" s="4">
        <f t="shared" si="100"/>
        <v>4488856370.2364426</v>
      </c>
      <c r="O456" s="4">
        <f t="shared" si="101"/>
        <v>598514182698.19226</v>
      </c>
      <c r="P456" s="4">
        <f t="shared" si="102"/>
        <v>-44888563702.364418</v>
      </c>
      <c r="Q456" s="4">
        <f t="shared" si="105"/>
        <v>0</v>
      </c>
      <c r="R456" s="4">
        <f t="shared" si="105"/>
        <v>0</v>
      </c>
      <c r="S456" s="4">
        <f t="shared" si="105"/>
        <v>0</v>
      </c>
      <c r="T456" s="3"/>
      <c r="U456" s="4">
        <f t="shared" si="103"/>
        <v>112000000</v>
      </c>
      <c r="V456">
        <f t="shared" si="104"/>
        <v>500160050515.12274</v>
      </c>
    </row>
    <row r="457" spans="1:22" x14ac:dyDescent="0.5">
      <c r="A457" s="3">
        <v>50</v>
      </c>
      <c r="B457" s="3">
        <v>0.99935979500000005</v>
      </c>
      <c r="C457" s="3">
        <v>5</v>
      </c>
      <c r="D457" s="3">
        <v>20</v>
      </c>
      <c r="E457" s="3">
        <v>0.05</v>
      </c>
      <c r="F457" s="3">
        <f t="shared" si="97"/>
        <v>2.3817145262624893</v>
      </c>
      <c r="G457" s="5">
        <v>0.4</v>
      </c>
      <c r="H457" s="4">
        <v>40000000</v>
      </c>
      <c r="I457" s="4">
        <f t="shared" si="95"/>
        <v>39974391.800000004</v>
      </c>
      <c r="J457" s="3">
        <v>210000000000</v>
      </c>
      <c r="K457" s="4">
        <f t="shared" si="96"/>
        <v>0.10291630386747225</v>
      </c>
      <c r="L457" s="6">
        <f t="shared" si="98"/>
        <v>2.0583260773494452</v>
      </c>
      <c r="M457" s="4">
        <f t="shared" si="99"/>
        <v>44857431.826496199</v>
      </c>
      <c r="N457" s="4">
        <f t="shared" si="100"/>
        <v>4485743182.6496201</v>
      </c>
      <c r="O457" s="4">
        <f t="shared" si="101"/>
        <v>598099091019.94934</v>
      </c>
      <c r="P457" s="4">
        <f t="shared" si="102"/>
        <v>-44857431826.496193</v>
      </c>
      <c r="Q457" s="4">
        <f t="shared" si="105"/>
        <v>3113187.5868225098</v>
      </c>
      <c r="R457" s="4">
        <f t="shared" si="105"/>
        <v>415091678.24291992</v>
      </c>
      <c r="S457" s="4">
        <f t="shared" si="105"/>
        <v>-31131875.868225098</v>
      </c>
      <c r="T457" s="3"/>
      <c r="U457" s="4">
        <f t="shared" si="103"/>
        <v>111928297.04000001</v>
      </c>
      <c r="V457">
        <f t="shared" si="104"/>
        <v>500160050515.12274</v>
      </c>
    </row>
    <row r="458" spans="1:22" x14ac:dyDescent="0.5">
      <c r="A458" s="3">
        <v>50</v>
      </c>
      <c r="B458" s="3">
        <v>0.99487836100000004</v>
      </c>
      <c r="C458" s="3">
        <v>5</v>
      </c>
      <c r="D458" s="3">
        <v>20</v>
      </c>
      <c r="E458" s="3">
        <v>0.05</v>
      </c>
      <c r="F458" s="3">
        <f t="shared" si="97"/>
        <v>2.3817145262624893</v>
      </c>
      <c r="G458" s="5">
        <v>0.4</v>
      </c>
      <c r="H458" s="4">
        <v>40000000</v>
      </c>
      <c r="I458" s="4">
        <f t="shared" si="95"/>
        <v>39795134.440000005</v>
      </c>
      <c r="J458" s="3">
        <v>210000000000</v>
      </c>
      <c r="K458" s="4">
        <f t="shared" si="96"/>
        <v>0.10291630386747225</v>
      </c>
      <c r="L458" s="6">
        <f t="shared" si="98"/>
        <v>2.0583260773494452</v>
      </c>
      <c r="M458" s="4">
        <f t="shared" si="99"/>
        <v>44639555.3325091</v>
      </c>
      <c r="N458" s="4">
        <f t="shared" si="100"/>
        <v>4463955533.2509098</v>
      </c>
      <c r="O458" s="4">
        <f t="shared" si="101"/>
        <v>595194071100.12134</v>
      </c>
      <c r="P458" s="4">
        <f t="shared" si="102"/>
        <v>-44639555332.509102</v>
      </c>
      <c r="Q458" s="4">
        <f t="shared" si="105"/>
        <v>21787649.398710251</v>
      </c>
      <c r="R458" s="4">
        <f t="shared" si="105"/>
        <v>2905019919.8280029</v>
      </c>
      <c r="S458" s="4">
        <f t="shared" si="105"/>
        <v>-217876493.98709106</v>
      </c>
      <c r="T458" s="3"/>
      <c r="U458" s="4">
        <f t="shared" si="103"/>
        <v>111426376.43200001</v>
      </c>
      <c r="V458">
        <f t="shared" si="104"/>
        <v>500160050515.12274</v>
      </c>
    </row>
    <row r="459" spans="1:22" x14ac:dyDescent="0.5">
      <c r="A459" s="3">
        <v>50</v>
      </c>
      <c r="B459" s="3">
        <v>0.98655569799999998</v>
      </c>
      <c r="C459" s="3">
        <v>5</v>
      </c>
      <c r="D459" s="3">
        <v>20</v>
      </c>
      <c r="E459" s="3">
        <v>0.05</v>
      </c>
      <c r="F459" s="3">
        <f t="shared" si="97"/>
        <v>2.3817145262624893</v>
      </c>
      <c r="G459" s="5">
        <v>0.4</v>
      </c>
      <c r="H459" s="4">
        <v>40000000</v>
      </c>
      <c r="I459" s="4">
        <f t="shared" si="95"/>
        <v>39462227.920000002</v>
      </c>
      <c r="J459" s="3">
        <v>210000000000</v>
      </c>
      <c r="K459" s="4">
        <f t="shared" si="96"/>
        <v>0.10291630386747225</v>
      </c>
      <c r="L459" s="6">
        <f t="shared" si="98"/>
        <v>2.0583260773494452</v>
      </c>
      <c r="M459" s="4">
        <f t="shared" si="99"/>
        <v>44235144.763711371</v>
      </c>
      <c r="N459" s="4">
        <f t="shared" si="100"/>
        <v>4423514476.3711367</v>
      </c>
      <c r="O459" s="4">
        <f t="shared" si="101"/>
        <v>589801930182.81824</v>
      </c>
      <c r="P459" s="4">
        <f t="shared" si="102"/>
        <v>-44235144763.711372</v>
      </c>
      <c r="Q459" s="4">
        <f t="shared" si="105"/>
        <v>40441056.87977314</v>
      </c>
      <c r="R459" s="4">
        <f t="shared" si="105"/>
        <v>5392140917.3031006</v>
      </c>
      <c r="S459" s="4">
        <f t="shared" si="105"/>
        <v>-404410568.79772949</v>
      </c>
      <c r="T459" s="3"/>
      <c r="U459" s="4">
        <f t="shared" si="103"/>
        <v>110494238.176</v>
      </c>
      <c r="V459">
        <f t="shared" si="104"/>
        <v>500160050515.12274</v>
      </c>
    </row>
    <row r="460" spans="1:22" x14ac:dyDescent="0.5">
      <c r="A460" s="3">
        <v>50</v>
      </c>
      <c r="B460" s="3">
        <v>0.98015364900000002</v>
      </c>
      <c r="C460" s="3">
        <v>5</v>
      </c>
      <c r="D460" s="3">
        <v>20</v>
      </c>
      <c r="E460" s="3">
        <v>0.05</v>
      </c>
      <c r="F460" s="3">
        <f t="shared" si="97"/>
        <v>2.3817145262624893</v>
      </c>
      <c r="G460" s="5">
        <v>0.4</v>
      </c>
      <c r="H460" s="4">
        <v>40000000</v>
      </c>
      <c r="I460" s="4">
        <f t="shared" si="95"/>
        <v>39206145.960000001</v>
      </c>
      <c r="J460" s="3">
        <v>210000000000</v>
      </c>
      <c r="K460" s="4">
        <f t="shared" si="96"/>
        <v>0.10291630386747225</v>
      </c>
      <c r="L460" s="6">
        <f t="shared" si="98"/>
        <v>2.0583260773494452</v>
      </c>
      <c r="M460" s="4">
        <f t="shared" si="99"/>
        <v>43924252.964306474</v>
      </c>
      <c r="N460" s="4">
        <f t="shared" si="100"/>
        <v>4392425296.4306469</v>
      </c>
      <c r="O460" s="4">
        <f t="shared" si="101"/>
        <v>585656706190.75305</v>
      </c>
      <c r="P460" s="4">
        <f t="shared" si="102"/>
        <v>-43924252964.306473</v>
      </c>
      <c r="Q460" s="4">
        <f t="shared" si="105"/>
        <v>31089179.940489769</v>
      </c>
      <c r="R460" s="4">
        <f t="shared" si="105"/>
        <v>4145223992.0651855</v>
      </c>
      <c r="S460" s="4">
        <f t="shared" si="105"/>
        <v>-310891799.4048996</v>
      </c>
      <c r="T460" s="3"/>
      <c r="U460" s="4">
        <f t="shared" si="103"/>
        <v>109777208.68799999</v>
      </c>
      <c r="V460">
        <f t="shared" si="104"/>
        <v>500160050515.12274</v>
      </c>
    </row>
    <row r="461" spans="1:22" x14ac:dyDescent="0.5">
      <c r="A461" s="3">
        <v>50</v>
      </c>
      <c r="B461" s="3">
        <v>0.96927016600000004</v>
      </c>
      <c r="C461" s="3">
        <v>5</v>
      </c>
      <c r="D461" s="3">
        <v>20</v>
      </c>
      <c r="E461" s="3">
        <v>0.05</v>
      </c>
      <c r="F461" s="3">
        <f t="shared" si="97"/>
        <v>2.3817145262624893</v>
      </c>
      <c r="G461" s="5">
        <v>0.4</v>
      </c>
      <c r="H461" s="4">
        <v>40000000</v>
      </c>
      <c r="I461" s="4">
        <f t="shared" si="95"/>
        <v>38770806.640000001</v>
      </c>
      <c r="J461" s="3">
        <v>210000000000</v>
      </c>
      <c r="K461" s="4">
        <f t="shared" si="96"/>
        <v>0.10291630386747225</v>
      </c>
      <c r="L461" s="6">
        <f t="shared" si="98"/>
        <v>2.0583260773494452</v>
      </c>
      <c r="M461" s="4">
        <f t="shared" si="99"/>
        <v>43396125.723104022</v>
      </c>
      <c r="N461" s="4">
        <f t="shared" si="100"/>
        <v>4339612572.3104019</v>
      </c>
      <c r="O461" s="4">
        <f t="shared" si="101"/>
        <v>578615009641.38696</v>
      </c>
      <c r="P461" s="4">
        <f t="shared" si="102"/>
        <v>-43396125723.104027</v>
      </c>
      <c r="Q461" s="4">
        <f t="shared" si="105"/>
        <v>52812724.12024498</v>
      </c>
      <c r="R461" s="4">
        <f t="shared" si="105"/>
        <v>7041696549.3660889</v>
      </c>
      <c r="S461" s="4">
        <f t="shared" si="105"/>
        <v>-528127241.20244598</v>
      </c>
      <c r="T461" s="3"/>
      <c r="U461" s="4">
        <f t="shared" si="103"/>
        <v>108558258.59199999</v>
      </c>
      <c r="V461">
        <f t="shared" si="104"/>
        <v>500160050515.12274</v>
      </c>
    </row>
    <row r="462" spans="1:22" x14ac:dyDescent="0.5">
      <c r="A462" s="3">
        <v>50</v>
      </c>
      <c r="B462" s="3">
        <v>0.95582586400000003</v>
      </c>
      <c r="C462" s="3">
        <v>5</v>
      </c>
      <c r="D462" s="3">
        <v>20</v>
      </c>
      <c r="E462" s="3">
        <v>0.05</v>
      </c>
      <c r="F462" s="3">
        <f t="shared" si="97"/>
        <v>2.3817145262624893</v>
      </c>
      <c r="G462" s="5">
        <v>0.4</v>
      </c>
      <c r="H462" s="4">
        <v>40000000</v>
      </c>
      <c r="I462" s="4">
        <f t="shared" si="95"/>
        <v>38233034.560000002</v>
      </c>
      <c r="J462" s="3">
        <v>210000000000</v>
      </c>
      <c r="K462" s="4">
        <f t="shared" si="96"/>
        <v>0.10291630386747225</v>
      </c>
      <c r="L462" s="6">
        <f t="shared" si="98"/>
        <v>2.0583260773494452</v>
      </c>
      <c r="M462" s="4">
        <f t="shared" si="99"/>
        <v>42744415.79186108</v>
      </c>
      <c r="N462" s="4">
        <f t="shared" si="100"/>
        <v>4274441579.1861081</v>
      </c>
      <c r="O462" s="4">
        <f t="shared" si="101"/>
        <v>569925543891.48108</v>
      </c>
      <c r="P462" s="4">
        <f t="shared" si="102"/>
        <v>-42744415791.861084</v>
      </c>
      <c r="Q462" s="4">
        <f t="shared" si="105"/>
        <v>65170993.124293804</v>
      </c>
      <c r="R462" s="4">
        <f t="shared" si="105"/>
        <v>8689465749.9058838</v>
      </c>
      <c r="S462" s="4">
        <f t="shared" si="105"/>
        <v>-651709931.24294281</v>
      </c>
      <c r="T462" s="3"/>
      <c r="U462" s="4">
        <f t="shared" si="103"/>
        <v>107052496.76800001</v>
      </c>
      <c r="V462">
        <f t="shared" si="104"/>
        <v>500160050515.12274</v>
      </c>
    </row>
    <row r="463" spans="1:22" x14ac:dyDescent="0.5">
      <c r="A463" s="3">
        <v>50</v>
      </c>
      <c r="B463" s="3">
        <v>0.94174135699999995</v>
      </c>
      <c r="C463" s="3">
        <v>5</v>
      </c>
      <c r="D463" s="3">
        <v>20</v>
      </c>
      <c r="E463" s="3">
        <v>0.05</v>
      </c>
      <c r="F463" s="3">
        <f t="shared" si="97"/>
        <v>2.3817145262624893</v>
      </c>
      <c r="G463" s="5">
        <v>0.4</v>
      </c>
      <c r="H463" s="4">
        <v>40000000</v>
      </c>
      <c r="I463" s="4">
        <f t="shared" si="95"/>
        <v>37669654.280000001</v>
      </c>
      <c r="J463" s="3">
        <v>210000000000</v>
      </c>
      <c r="K463" s="4">
        <f t="shared" si="96"/>
        <v>0.10291630386747225</v>
      </c>
      <c r="L463" s="6">
        <f t="shared" si="98"/>
        <v>2.0583260773494452</v>
      </c>
      <c r="M463" s="4">
        <f t="shared" si="99"/>
        <v>42062491.085074142</v>
      </c>
      <c r="N463" s="4">
        <f t="shared" si="100"/>
        <v>4206249108.5074139</v>
      </c>
      <c r="O463" s="4">
        <f t="shared" si="101"/>
        <v>560833214467.65515</v>
      </c>
      <c r="P463" s="4">
        <f t="shared" si="102"/>
        <v>-42062491085.074142</v>
      </c>
      <c r="Q463" s="4">
        <f t="shared" si="105"/>
        <v>68192470.678694248</v>
      </c>
      <c r="R463" s="4">
        <f t="shared" si="105"/>
        <v>9092329423.8259277</v>
      </c>
      <c r="S463" s="4">
        <f t="shared" si="105"/>
        <v>-681924706.78694153</v>
      </c>
      <c r="T463" s="3"/>
      <c r="U463" s="4">
        <f t="shared" si="103"/>
        <v>105475031.984</v>
      </c>
      <c r="V463">
        <f t="shared" si="104"/>
        <v>500160050515.12274</v>
      </c>
    </row>
    <row r="464" spans="1:22" x14ac:dyDescent="0.5">
      <c r="A464" s="3">
        <v>50</v>
      </c>
      <c r="B464" s="3">
        <v>0.92445582599999998</v>
      </c>
      <c r="C464" s="3">
        <v>5</v>
      </c>
      <c r="D464" s="3">
        <v>20</v>
      </c>
      <c r="E464" s="3">
        <v>0.05</v>
      </c>
      <c r="F464" s="3">
        <f t="shared" si="97"/>
        <v>2.3817145262624893</v>
      </c>
      <c r="G464" s="5">
        <v>0.4</v>
      </c>
      <c r="H464" s="4">
        <v>40000000</v>
      </c>
      <c r="I464" s="4">
        <f t="shared" si="95"/>
        <v>36978233.039999999</v>
      </c>
      <c r="J464" s="3">
        <v>210000000000</v>
      </c>
      <c r="K464" s="4">
        <f t="shared" si="96"/>
        <v>0.10291630386747225</v>
      </c>
      <c r="L464" s="6">
        <f t="shared" si="98"/>
        <v>2.0583260773494452</v>
      </c>
      <c r="M464" s="4">
        <f t="shared" si="99"/>
        <v>41226745.621582665</v>
      </c>
      <c r="N464" s="4">
        <f t="shared" si="100"/>
        <v>4122674562.1582661</v>
      </c>
      <c r="O464" s="4">
        <f t="shared" si="101"/>
        <v>549689941621.10223</v>
      </c>
      <c r="P464" s="4">
        <f t="shared" si="102"/>
        <v>-41226745621.582664</v>
      </c>
      <c r="Q464" s="4">
        <f t="shared" si="105"/>
        <v>83574546.349147797</v>
      </c>
      <c r="R464" s="4">
        <f t="shared" si="105"/>
        <v>11143272846.552917</v>
      </c>
      <c r="S464" s="4">
        <f t="shared" si="105"/>
        <v>-835745463.49147797</v>
      </c>
      <c r="T464" s="3"/>
      <c r="U464" s="4">
        <f t="shared" si="103"/>
        <v>103539052.51199999</v>
      </c>
      <c r="V464">
        <f t="shared" si="104"/>
        <v>500160050515.12274</v>
      </c>
    </row>
    <row r="465" spans="1:22" x14ac:dyDescent="0.5">
      <c r="A465" s="3">
        <v>50</v>
      </c>
      <c r="B465" s="3">
        <v>0.904609475</v>
      </c>
      <c r="C465" s="3">
        <v>5</v>
      </c>
      <c r="D465" s="3">
        <v>20</v>
      </c>
      <c r="E465" s="3">
        <v>0.05</v>
      </c>
      <c r="F465" s="3">
        <f t="shared" si="97"/>
        <v>2.3817145262624893</v>
      </c>
      <c r="G465" s="5">
        <v>0.4</v>
      </c>
      <c r="H465" s="4">
        <v>40000000</v>
      </c>
      <c r="I465" s="4">
        <f t="shared" si="95"/>
        <v>36184379</v>
      </c>
      <c r="J465" s="3">
        <v>210000000000</v>
      </c>
      <c r="K465" s="4">
        <f t="shared" si="96"/>
        <v>0.10291630386747225</v>
      </c>
      <c r="L465" s="6">
        <f t="shared" si="98"/>
        <v>2.0583260773494452</v>
      </c>
      <c r="M465" s="4">
        <f t="shared" si="99"/>
        <v>40268792.109453373</v>
      </c>
      <c r="N465" s="4">
        <f t="shared" si="100"/>
        <v>4026879210.9453373</v>
      </c>
      <c r="O465" s="4">
        <f t="shared" si="101"/>
        <v>536917228126.04498</v>
      </c>
      <c r="P465" s="4">
        <f t="shared" si="102"/>
        <v>-40268792109.453377</v>
      </c>
      <c r="Q465" s="4">
        <f t="shared" si="105"/>
        <v>95795351.212928772</v>
      </c>
      <c r="R465" s="4">
        <f t="shared" si="105"/>
        <v>12772713495.057251</v>
      </c>
      <c r="S465" s="4">
        <f t="shared" si="105"/>
        <v>-957953512.12928772</v>
      </c>
      <c r="T465" s="3"/>
      <c r="U465" s="4">
        <f t="shared" si="103"/>
        <v>101316261.19999999</v>
      </c>
      <c r="V465">
        <f t="shared" si="104"/>
        <v>500160050515.12274</v>
      </c>
    </row>
    <row r="466" spans="1:22" x14ac:dyDescent="0.5">
      <c r="A466" s="3">
        <v>50</v>
      </c>
      <c r="B466" s="3">
        <v>0.88156210000000002</v>
      </c>
      <c r="C466" s="3">
        <v>5</v>
      </c>
      <c r="D466" s="3">
        <v>20</v>
      </c>
      <c r="E466" s="3">
        <v>0.05</v>
      </c>
      <c r="F466" s="3">
        <f t="shared" si="97"/>
        <v>2.3817145262624893</v>
      </c>
      <c r="G466" s="5">
        <v>0.4</v>
      </c>
      <c r="H466" s="4">
        <v>40000000</v>
      </c>
      <c r="I466" s="4">
        <f t="shared" si="95"/>
        <v>35262484</v>
      </c>
      <c r="J466" s="3">
        <v>210000000000</v>
      </c>
      <c r="K466" s="4">
        <f t="shared" si="96"/>
        <v>0.10291630386747225</v>
      </c>
      <c r="L466" s="6">
        <f t="shared" si="98"/>
        <v>2.0583260773494452</v>
      </c>
      <c r="M466" s="4">
        <f t="shared" si="99"/>
        <v>39158528.441681795</v>
      </c>
      <c r="N466" s="4">
        <f t="shared" si="100"/>
        <v>3915852844.1681795</v>
      </c>
      <c r="O466" s="4">
        <f t="shared" si="101"/>
        <v>522113712555.75732</v>
      </c>
      <c r="P466" s="4">
        <f t="shared" si="102"/>
        <v>-39158528441.681793</v>
      </c>
      <c r="Q466" s="4">
        <f t="shared" si="105"/>
        <v>111026366.77715778</v>
      </c>
      <c r="R466" s="4">
        <f t="shared" si="105"/>
        <v>14803515570.287659</v>
      </c>
      <c r="S466" s="4">
        <f t="shared" si="105"/>
        <v>-1110263667.7715836</v>
      </c>
      <c r="T466" s="3"/>
      <c r="U466" s="4">
        <f t="shared" si="103"/>
        <v>98734955.199999988</v>
      </c>
      <c r="V466">
        <f t="shared" si="104"/>
        <v>500160050515.12274</v>
      </c>
    </row>
    <row r="467" spans="1:22" x14ac:dyDescent="0.5">
      <c r="A467" s="3">
        <v>50</v>
      </c>
      <c r="B467" s="3">
        <v>0.85211267599999996</v>
      </c>
      <c r="C467" s="3">
        <v>5</v>
      </c>
      <c r="D467" s="3">
        <v>20</v>
      </c>
      <c r="E467" s="3">
        <v>0.05</v>
      </c>
      <c r="F467" s="3">
        <f t="shared" si="97"/>
        <v>2.3817145262624893</v>
      </c>
      <c r="G467" s="5">
        <v>0.4</v>
      </c>
      <c r="H467" s="4">
        <v>40000000</v>
      </c>
      <c r="I467" s="4">
        <f t="shared" si="95"/>
        <v>34084507.039999999</v>
      </c>
      <c r="J467" s="3">
        <v>210000000000</v>
      </c>
      <c r="K467" s="4">
        <f t="shared" si="96"/>
        <v>0.10291630386747225</v>
      </c>
      <c r="L467" s="6">
        <f t="shared" si="98"/>
        <v>2.0583260773494452</v>
      </c>
      <c r="M467" s="4">
        <f t="shared" si="99"/>
        <v>37743382.724671833</v>
      </c>
      <c r="N467" s="4">
        <f t="shared" si="100"/>
        <v>3774338272.4671836</v>
      </c>
      <c r="O467" s="4">
        <f t="shared" si="101"/>
        <v>503245102995.62445</v>
      </c>
      <c r="P467" s="4">
        <f t="shared" si="102"/>
        <v>-37743382724.671837</v>
      </c>
      <c r="Q467" s="4">
        <f t="shared" si="105"/>
        <v>141514571.70099592</v>
      </c>
      <c r="R467" s="4">
        <f t="shared" si="105"/>
        <v>18868609560.132874</v>
      </c>
      <c r="S467" s="4">
        <f t="shared" si="105"/>
        <v>-1415145717.0099564</v>
      </c>
      <c r="T467" s="3"/>
      <c r="U467" s="4">
        <f t="shared" si="103"/>
        <v>95436619.711999997</v>
      </c>
      <c r="V467">
        <f t="shared" si="104"/>
        <v>500160050515.12274</v>
      </c>
    </row>
    <row r="468" spans="1:22" x14ac:dyDescent="0.5">
      <c r="A468" s="3">
        <v>50</v>
      </c>
      <c r="B468" s="3">
        <v>0.82138284299999997</v>
      </c>
      <c r="C468" s="3">
        <v>5</v>
      </c>
      <c r="D468" s="3">
        <v>20</v>
      </c>
      <c r="E468" s="3">
        <v>0.05</v>
      </c>
      <c r="F468" s="3">
        <f t="shared" si="97"/>
        <v>2.3817145262624893</v>
      </c>
      <c r="G468" s="5">
        <v>0.4</v>
      </c>
      <c r="H468" s="4">
        <v>40000000</v>
      </c>
      <c r="I468" s="4">
        <f t="shared" si="95"/>
        <v>32855313.719999999</v>
      </c>
      <c r="J468" s="3">
        <v>210000000000</v>
      </c>
      <c r="K468" s="4">
        <f t="shared" si="96"/>
        <v>0.10291630386747225</v>
      </c>
      <c r="L468" s="6">
        <f t="shared" si="98"/>
        <v>2.0583260773494452</v>
      </c>
      <c r="M468" s="4">
        <f t="shared" si="99"/>
        <v>36271050.90572574</v>
      </c>
      <c r="N468" s="4">
        <f t="shared" si="100"/>
        <v>3627105090.5725741</v>
      </c>
      <c r="O468" s="4">
        <f t="shared" si="101"/>
        <v>483614012076.3432</v>
      </c>
      <c r="P468" s="4">
        <f t="shared" si="102"/>
        <v>-36271050905.725739</v>
      </c>
      <c r="Q468" s="4">
        <f t="shared" si="105"/>
        <v>147233181.89460945</v>
      </c>
      <c r="R468" s="4">
        <f t="shared" si="105"/>
        <v>19631090919.28125</v>
      </c>
      <c r="S468" s="4">
        <f t="shared" si="105"/>
        <v>-1472331818.9460983</v>
      </c>
      <c r="T468" s="3"/>
      <c r="U468" s="4">
        <f t="shared" si="103"/>
        <v>91994878.415999994</v>
      </c>
      <c r="V468">
        <f t="shared" si="104"/>
        <v>500160050515.12274</v>
      </c>
    </row>
    <row r="469" spans="1:22" x14ac:dyDescent="0.5">
      <c r="A469" s="3">
        <v>50</v>
      </c>
      <c r="B469" s="3">
        <v>0.78873239399999995</v>
      </c>
      <c r="C469" s="3">
        <v>5</v>
      </c>
      <c r="D469" s="3">
        <v>20</v>
      </c>
      <c r="E469" s="3">
        <v>0.05</v>
      </c>
      <c r="F469" s="3">
        <f t="shared" si="97"/>
        <v>2.3817145262624893</v>
      </c>
      <c r="G469" s="5">
        <v>0.4</v>
      </c>
      <c r="H469" s="4">
        <v>40000000</v>
      </c>
      <c r="I469" s="4">
        <f t="shared" si="95"/>
        <v>31549295.759999998</v>
      </c>
      <c r="J469" s="3">
        <v>210000000000</v>
      </c>
      <c r="K469" s="4">
        <f t="shared" si="96"/>
        <v>0.10291630386747225</v>
      </c>
      <c r="L469" s="6">
        <f t="shared" si="98"/>
        <v>2.0583260773494452</v>
      </c>
      <c r="M469" s="4">
        <f t="shared" si="99"/>
        <v>34711724.810616657</v>
      </c>
      <c r="N469" s="4">
        <f t="shared" si="100"/>
        <v>3471172481.061666</v>
      </c>
      <c r="O469" s="4">
        <f t="shared" si="101"/>
        <v>462822997474.88885</v>
      </c>
      <c r="P469" s="4">
        <f t="shared" si="102"/>
        <v>-34711724810.616661</v>
      </c>
      <c r="Q469" s="4">
        <f t="shared" si="105"/>
        <v>155932609.51090813</v>
      </c>
      <c r="R469" s="4">
        <f t="shared" si="105"/>
        <v>20791014601.454346</v>
      </c>
      <c r="S469" s="4">
        <f t="shared" si="105"/>
        <v>-1559326095.1090775</v>
      </c>
      <c r="T469" s="3"/>
      <c r="U469" s="4">
        <f t="shared" si="103"/>
        <v>88338028.127999991</v>
      </c>
      <c r="V469">
        <f t="shared" si="104"/>
        <v>500160050515.12274</v>
      </c>
    </row>
    <row r="470" spans="1:22" x14ac:dyDescent="0.5">
      <c r="A470" s="3">
        <v>50</v>
      </c>
      <c r="B470" s="3">
        <v>0.75288092200000001</v>
      </c>
      <c r="C470" s="3">
        <v>5</v>
      </c>
      <c r="D470" s="3">
        <v>20</v>
      </c>
      <c r="E470" s="3">
        <v>0.05</v>
      </c>
      <c r="F470" s="3">
        <f t="shared" si="97"/>
        <v>2.3817145262624893</v>
      </c>
      <c r="G470" s="5">
        <v>0.4</v>
      </c>
      <c r="H470" s="4">
        <v>40000000</v>
      </c>
      <c r="I470" s="4">
        <f t="shared" si="95"/>
        <v>30115236.879999999</v>
      </c>
      <c r="J470" s="3">
        <v>210000000000</v>
      </c>
      <c r="K470" s="4">
        <f t="shared" si="96"/>
        <v>0.10291630386747225</v>
      </c>
      <c r="L470" s="6">
        <f t="shared" si="98"/>
        <v>2.0583260773494452</v>
      </c>
      <c r="M470" s="4">
        <f t="shared" si="99"/>
        <v>33005718.612000663</v>
      </c>
      <c r="N470" s="4">
        <f t="shared" si="100"/>
        <v>3300571861.2000661</v>
      </c>
      <c r="O470" s="4">
        <f t="shared" si="101"/>
        <v>440076248160.00879</v>
      </c>
      <c r="P470" s="4">
        <f t="shared" si="102"/>
        <v>-33005718612.000664</v>
      </c>
      <c r="Q470" s="4">
        <f t="shared" si="105"/>
        <v>170600619.86159992</v>
      </c>
      <c r="R470" s="4">
        <f t="shared" si="105"/>
        <v>22746749314.880066</v>
      </c>
      <c r="S470" s="4">
        <f t="shared" si="105"/>
        <v>-1706006198.6159973</v>
      </c>
      <c r="T470" s="3"/>
      <c r="U470" s="4">
        <f t="shared" si="103"/>
        <v>84322663.263999999</v>
      </c>
      <c r="V470">
        <f t="shared" si="104"/>
        <v>500160050515.12274</v>
      </c>
    </row>
    <row r="471" spans="1:22" x14ac:dyDescent="0.5">
      <c r="A471" s="3">
        <v>50</v>
      </c>
      <c r="B471" s="3">
        <v>0.71702944899999999</v>
      </c>
      <c r="C471" s="3">
        <v>5</v>
      </c>
      <c r="D471" s="3">
        <v>20</v>
      </c>
      <c r="E471" s="3">
        <v>0.05</v>
      </c>
      <c r="F471" s="3">
        <f t="shared" si="97"/>
        <v>2.3817145262624893</v>
      </c>
      <c r="G471" s="5">
        <v>0.4</v>
      </c>
      <c r="H471" s="4">
        <v>40000000</v>
      </c>
      <c r="I471" s="4">
        <f t="shared" si="95"/>
        <v>28681177.960000001</v>
      </c>
      <c r="J471" s="3">
        <v>210000000000</v>
      </c>
      <c r="K471" s="4">
        <f t="shared" si="96"/>
        <v>0.10291630386747225</v>
      </c>
      <c r="L471" s="6">
        <f t="shared" si="98"/>
        <v>2.0583260773494452</v>
      </c>
      <c r="M471" s="4">
        <f t="shared" si="99"/>
        <v>31306471.261688553</v>
      </c>
      <c r="N471" s="4">
        <f t="shared" si="100"/>
        <v>3130647126.1688557</v>
      </c>
      <c r="O471" s="4">
        <f t="shared" si="101"/>
        <v>417419616822.5141</v>
      </c>
      <c r="P471" s="4">
        <f t="shared" si="102"/>
        <v>-31306471261.688553</v>
      </c>
      <c r="Q471" s="4">
        <f t="shared" si="105"/>
        <v>169924735.03121042</v>
      </c>
      <c r="R471" s="4">
        <f t="shared" si="105"/>
        <v>22656631337.49469</v>
      </c>
      <c r="S471" s="4">
        <f t="shared" si="105"/>
        <v>-1699247350.3121109</v>
      </c>
      <c r="T471" s="3"/>
      <c r="U471" s="4">
        <f t="shared" si="103"/>
        <v>80307298.288000003</v>
      </c>
      <c r="V471">
        <f t="shared" si="104"/>
        <v>500160050515.12274</v>
      </c>
    </row>
    <row r="472" spans="1:22" x14ac:dyDescent="0.5">
      <c r="A472" s="3">
        <v>50</v>
      </c>
      <c r="B472" s="3">
        <v>0.68053777199999999</v>
      </c>
      <c r="C472" s="3">
        <v>5</v>
      </c>
      <c r="D472" s="3">
        <v>20</v>
      </c>
      <c r="E472" s="3">
        <v>0.05</v>
      </c>
      <c r="F472" s="3">
        <f t="shared" si="97"/>
        <v>2.3817145262624893</v>
      </c>
      <c r="G472" s="5">
        <v>0.4</v>
      </c>
      <c r="H472" s="4">
        <v>40000000</v>
      </c>
      <c r="I472" s="4">
        <f t="shared" si="95"/>
        <v>27221510.879999999</v>
      </c>
      <c r="J472" s="3">
        <v>210000000000</v>
      </c>
      <c r="K472" s="4">
        <f t="shared" si="96"/>
        <v>0.10291630386747225</v>
      </c>
      <c r="L472" s="6">
        <f t="shared" si="98"/>
        <v>2.0583260773494452</v>
      </c>
      <c r="M472" s="4">
        <f t="shared" si="99"/>
        <v>29584141.022291198</v>
      </c>
      <c r="N472" s="4">
        <f t="shared" si="100"/>
        <v>2958414102.2291193</v>
      </c>
      <c r="O472" s="4">
        <f t="shared" si="101"/>
        <v>394455213630.54926</v>
      </c>
      <c r="P472" s="4">
        <f t="shared" si="102"/>
        <v>-29584141022.291195</v>
      </c>
      <c r="Q472" s="4">
        <f t="shared" si="105"/>
        <v>172233023.93973637</v>
      </c>
      <c r="R472" s="4">
        <f t="shared" si="105"/>
        <v>22964403191.964844</v>
      </c>
      <c r="S472" s="4">
        <f t="shared" si="105"/>
        <v>-1722330239.3973579</v>
      </c>
      <c r="T472" s="3"/>
      <c r="U472" s="4">
        <f t="shared" si="103"/>
        <v>76220230.463999987</v>
      </c>
      <c r="V472">
        <f t="shared" si="104"/>
        <v>500160050515.12274</v>
      </c>
    </row>
    <row r="473" spans="1:22" x14ac:dyDescent="0.5">
      <c r="A473" s="3">
        <v>50</v>
      </c>
      <c r="B473" s="3">
        <v>0.64020486600000004</v>
      </c>
      <c r="C473" s="3">
        <v>5</v>
      </c>
      <c r="D473" s="3">
        <v>20</v>
      </c>
      <c r="E473" s="3">
        <v>0.05</v>
      </c>
      <c r="F473" s="3">
        <f t="shared" si="97"/>
        <v>2.3817145262624893</v>
      </c>
      <c r="G473" s="5">
        <v>0.4</v>
      </c>
      <c r="H473" s="4">
        <v>40000000</v>
      </c>
      <c r="I473" s="4">
        <f t="shared" si="95"/>
        <v>25608194.640000001</v>
      </c>
      <c r="J473" s="3">
        <v>210000000000</v>
      </c>
      <c r="K473" s="4">
        <f t="shared" si="96"/>
        <v>0.10291630386747225</v>
      </c>
      <c r="L473" s="6">
        <f t="shared" si="98"/>
        <v>2.0583260773494452</v>
      </c>
      <c r="M473" s="4">
        <f t="shared" si="99"/>
        <v>27689466.904577363</v>
      </c>
      <c r="N473" s="4">
        <f t="shared" si="100"/>
        <v>2768946690.457736</v>
      </c>
      <c r="O473" s="4">
        <f t="shared" si="101"/>
        <v>369192892061.03149</v>
      </c>
      <c r="P473" s="4">
        <f t="shared" si="102"/>
        <v>-27689466904.577362</v>
      </c>
      <c r="Q473" s="4">
        <f t="shared" si="105"/>
        <v>189467411.77138329</v>
      </c>
      <c r="R473" s="4">
        <f t="shared" si="105"/>
        <v>25262321569.517761</v>
      </c>
      <c r="S473" s="4">
        <f t="shared" si="105"/>
        <v>-1894674117.7138329</v>
      </c>
      <c r="T473" s="3"/>
      <c r="U473" s="4">
        <f t="shared" si="103"/>
        <v>71702944.991999999</v>
      </c>
      <c r="V473">
        <f t="shared" si="104"/>
        <v>500160050515.12274</v>
      </c>
    </row>
    <row r="474" spans="1:22" x14ac:dyDescent="0.5">
      <c r="A474" s="3">
        <v>50</v>
      </c>
      <c r="B474" s="3">
        <v>0.60051216399999996</v>
      </c>
      <c r="C474" s="3">
        <v>5</v>
      </c>
      <c r="D474" s="3">
        <v>20</v>
      </c>
      <c r="E474" s="3">
        <v>0.05</v>
      </c>
      <c r="F474" s="3">
        <f t="shared" si="97"/>
        <v>2.3817145262624893</v>
      </c>
      <c r="G474" s="5">
        <v>0.4</v>
      </c>
      <c r="H474" s="4">
        <v>40000000</v>
      </c>
      <c r="I474" s="4">
        <f t="shared" si="95"/>
        <v>24020486.559999999</v>
      </c>
      <c r="J474" s="3">
        <v>210000000000</v>
      </c>
      <c r="K474" s="4">
        <f t="shared" si="96"/>
        <v>0.10291630386747225</v>
      </c>
      <c r="L474" s="6">
        <f t="shared" si="98"/>
        <v>2.0583260773494452</v>
      </c>
      <c r="M474" s="4">
        <f t="shared" si="99"/>
        <v>25834556.028214931</v>
      </c>
      <c r="N474" s="4">
        <f t="shared" si="100"/>
        <v>2583455602.8214931</v>
      </c>
      <c r="O474" s="4">
        <f t="shared" si="101"/>
        <v>344460747042.86578</v>
      </c>
      <c r="P474" s="4">
        <f t="shared" si="102"/>
        <v>-25834556028.214931</v>
      </c>
      <c r="Q474" s="4">
        <f t="shared" si="105"/>
        <v>185491087.63624287</v>
      </c>
      <c r="R474" s="4">
        <f t="shared" si="105"/>
        <v>24732145018.16571</v>
      </c>
      <c r="S474" s="4">
        <f t="shared" si="105"/>
        <v>-1854910876.3624306</v>
      </c>
      <c r="T474" s="3"/>
      <c r="U474" s="4">
        <f t="shared" si="103"/>
        <v>67257362.367999986</v>
      </c>
      <c r="V474">
        <f t="shared" si="104"/>
        <v>500160050515.12274</v>
      </c>
    </row>
    <row r="475" spans="1:22" x14ac:dyDescent="0.5">
      <c r="A475" s="3">
        <v>50</v>
      </c>
      <c r="B475" s="3">
        <v>0.55633802799999998</v>
      </c>
      <c r="C475" s="3">
        <v>5</v>
      </c>
      <c r="D475" s="3">
        <v>20</v>
      </c>
      <c r="E475" s="3">
        <v>0.05</v>
      </c>
      <c r="F475" s="3">
        <f t="shared" si="97"/>
        <v>2.3817145262624893</v>
      </c>
      <c r="G475" s="5">
        <v>0.4</v>
      </c>
      <c r="H475" s="4">
        <v>40000000</v>
      </c>
      <c r="I475" s="4">
        <f t="shared" si="95"/>
        <v>22253521.120000001</v>
      </c>
      <c r="J475" s="3">
        <v>210000000000</v>
      </c>
      <c r="K475" s="4">
        <f t="shared" si="96"/>
        <v>0.10291630386747225</v>
      </c>
      <c r="L475" s="6">
        <f t="shared" si="98"/>
        <v>2.0583260773494452</v>
      </c>
      <c r="M475" s="4">
        <f t="shared" si="99"/>
        <v>23782236.040006723</v>
      </c>
      <c r="N475" s="4">
        <f t="shared" si="100"/>
        <v>2378223604.0006723</v>
      </c>
      <c r="O475" s="4">
        <f t="shared" si="101"/>
        <v>317096480533.42297</v>
      </c>
      <c r="P475" s="4">
        <f t="shared" si="102"/>
        <v>-23782236040.006725</v>
      </c>
      <c r="Q475" s="4">
        <f t="shared" si="105"/>
        <v>205231998.82082081</v>
      </c>
      <c r="R475" s="4">
        <f t="shared" si="105"/>
        <v>27364266509.44281</v>
      </c>
      <c r="S475" s="4">
        <f t="shared" si="105"/>
        <v>-2052319988.2082062</v>
      </c>
      <c r="T475" s="3"/>
      <c r="U475" s="4">
        <f t="shared" si="103"/>
        <v>62309859.136</v>
      </c>
      <c r="V475">
        <f t="shared" si="104"/>
        <v>500160050515.12274</v>
      </c>
    </row>
    <row r="476" spans="1:22" x14ac:dyDescent="0.5">
      <c r="A476" s="3">
        <v>50</v>
      </c>
      <c r="B476" s="3">
        <v>0.51152368800000003</v>
      </c>
      <c r="C476" s="3">
        <v>5</v>
      </c>
      <c r="D476" s="3">
        <v>20</v>
      </c>
      <c r="E476" s="3">
        <v>0.05</v>
      </c>
      <c r="F476" s="3">
        <f t="shared" si="97"/>
        <v>2.3817145262624893</v>
      </c>
      <c r="G476" s="5">
        <v>0.4</v>
      </c>
      <c r="H476" s="4">
        <v>40000000</v>
      </c>
      <c r="I476" s="4">
        <f t="shared" si="95"/>
        <v>20460947.52</v>
      </c>
      <c r="J476" s="3">
        <v>210000000000</v>
      </c>
      <c r="K476" s="4">
        <f t="shared" si="96"/>
        <v>0.10291630386747225</v>
      </c>
      <c r="L476" s="6">
        <f t="shared" si="98"/>
        <v>2.0583260773494452</v>
      </c>
      <c r="M476" s="4">
        <f t="shared" si="99"/>
        <v>21714021.932701774</v>
      </c>
      <c r="N476" s="4">
        <f t="shared" si="100"/>
        <v>2171402193.2701774</v>
      </c>
      <c r="O476" s="4">
        <f t="shared" si="101"/>
        <v>289520292436.02362</v>
      </c>
      <c r="P476" s="4">
        <f t="shared" si="102"/>
        <v>-21714021932.701771</v>
      </c>
      <c r="Q476" s="4">
        <f t="shared" si="105"/>
        <v>206821410.73049498</v>
      </c>
      <c r="R476" s="4">
        <f t="shared" si="105"/>
        <v>27576188097.399353</v>
      </c>
      <c r="S476" s="4">
        <f t="shared" si="105"/>
        <v>-2068214107.3049545</v>
      </c>
      <c r="T476" s="3"/>
      <c r="U476" s="4">
        <f t="shared" si="103"/>
        <v>57290653.055999994</v>
      </c>
      <c r="V476">
        <f t="shared" si="104"/>
        <v>500160050515.12274</v>
      </c>
    </row>
    <row r="477" spans="1:22" x14ac:dyDescent="0.5">
      <c r="A477" s="3">
        <v>50</v>
      </c>
      <c r="B477" s="3">
        <v>0.46927016599999999</v>
      </c>
      <c r="C477" s="3">
        <v>5</v>
      </c>
      <c r="D477" s="3">
        <v>20</v>
      </c>
      <c r="E477" s="3">
        <v>0.05</v>
      </c>
      <c r="F477" s="3">
        <f t="shared" si="97"/>
        <v>2.3817145262624893</v>
      </c>
      <c r="G477" s="5">
        <v>0.4</v>
      </c>
      <c r="H477" s="4">
        <v>40000000</v>
      </c>
      <c r="I477" s="4">
        <f t="shared" si="95"/>
        <v>18770806.640000001</v>
      </c>
      <c r="J477" s="3">
        <v>210000000000</v>
      </c>
      <c r="K477" s="4">
        <f t="shared" si="96"/>
        <v>0.10291630386747225</v>
      </c>
      <c r="L477" s="6">
        <f t="shared" si="98"/>
        <v>2.0583260773494452</v>
      </c>
      <c r="M477" s="4">
        <f t="shared" si="99"/>
        <v>19777765.93985416</v>
      </c>
      <c r="N477" s="4">
        <f t="shared" si="100"/>
        <v>1977776593.9854159</v>
      </c>
      <c r="O477" s="4">
        <f t="shared" si="101"/>
        <v>263703545864.72214</v>
      </c>
      <c r="P477" s="4">
        <f t="shared" si="102"/>
        <v>-19777765939.85416</v>
      </c>
      <c r="Q477" s="4">
        <f t="shared" si="105"/>
        <v>193625599.28476143</v>
      </c>
      <c r="R477" s="4">
        <f t="shared" si="105"/>
        <v>25816746571.301483</v>
      </c>
      <c r="S477" s="4">
        <f t="shared" si="105"/>
        <v>-1936255992.8476105</v>
      </c>
      <c r="T477" s="3"/>
      <c r="U477" s="4">
        <f t="shared" si="103"/>
        <v>52558258.592</v>
      </c>
      <c r="V477">
        <f t="shared" si="104"/>
        <v>500160050515.12274</v>
      </c>
    </row>
    <row r="478" spans="1:22" x14ac:dyDescent="0.5">
      <c r="A478" s="3">
        <v>50</v>
      </c>
      <c r="B478" s="3">
        <v>0.42637644000000002</v>
      </c>
      <c r="C478" s="3">
        <v>5</v>
      </c>
      <c r="D478" s="3">
        <v>20</v>
      </c>
      <c r="E478" s="3">
        <v>0.05</v>
      </c>
      <c r="F478" s="3">
        <f t="shared" si="97"/>
        <v>2.3817145262624893</v>
      </c>
      <c r="G478" s="5">
        <v>0.4</v>
      </c>
      <c r="H478" s="4">
        <v>40000000</v>
      </c>
      <c r="I478" s="4">
        <f t="shared" si="95"/>
        <v>17055057.600000001</v>
      </c>
      <c r="J478" s="3">
        <v>210000000000</v>
      </c>
      <c r="K478" s="4">
        <f t="shared" si="96"/>
        <v>0.10291630386747225</v>
      </c>
      <c r="L478" s="6">
        <f t="shared" si="98"/>
        <v>2.0583260773494452</v>
      </c>
      <c r="M478" s="4">
        <f t="shared" si="99"/>
        <v>17827003.179553144</v>
      </c>
      <c r="N478" s="4">
        <f t="shared" si="100"/>
        <v>1782700317.9553146</v>
      </c>
      <c r="O478" s="4">
        <f t="shared" si="101"/>
        <v>237693375727.37527</v>
      </c>
      <c r="P478" s="4">
        <f t="shared" si="102"/>
        <v>-17827003179.553146</v>
      </c>
      <c r="Q478" s="4">
        <f t="shared" si="105"/>
        <v>195076276.0301013</v>
      </c>
      <c r="R478" s="4">
        <f t="shared" si="105"/>
        <v>26010170137.346863</v>
      </c>
      <c r="S478" s="4">
        <f t="shared" si="105"/>
        <v>-1950762760.3010139</v>
      </c>
      <c r="T478" s="3"/>
      <c r="U478" s="4">
        <f t="shared" si="103"/>
        <v>47754161.280000001</v>
      </c>
      <c r="V478">
        <f t="shared" si="104"/>
        <v>500160050515.12274</v>
      </c>
    </row>
    <row r="479" spans="1:22" x14ac:dyDescent="0.5">
      <c r="A479" s="3">
        <v>50</v>
      </c>
      <c r="B479" s="3">
        <v>0.38540332900000002</v>
      </c>
      <c r="C479" s="3">
        <v>5</v>
      </c>
      <c r="D479" s="3">
        <v>20</v>
      </c>
      <c r="E479" s="3">
        <v>0.05</v>
      </c>
      <c r="F479" s="3">
        <f t="shared" si="97"/>
        <v>2.3817145262624893</v>
      </c>
      <c r="G479" s="5">
        <v>0.4</v>
      </c>
      <c r="H479" s="4">
        <v>40000000</v>
      </c>
      <c r="I479" s="4">
        <f t="shared" si="95"/>
        <v>15416133.16</v>
      </c>
      <c r="J479" s="3">
        <v>210000000000</v>
      </c>
      <c r="K479" s="4">
        <f t="shared" si="96"/>
        <v>0.10291630386747225</v>
      </c>
      <c r="L479" s="6">
        <f t="shared" si="98"/>
        <v>2.0583260773494452</v>
      </c>
      <c r="M479" s="4">
        <f t="shared" si="99"/>
        <v>15978798.726938026</v>
      </c>
      <c r="N479" s="4">
        <f t="shared" si="100"/>
        <v>1597879872.6938028</v>
      </c>
      <c r="O479" s="4">
        <f t="shared" si="101"/>
        <v>213050649692.50705</v>
      </c>
      <c r="P479" s="4">
        <f t="shared" si="102"/>
        <v>-15978798726.938026</v>
      </c>
      <c r="Q479" s="4">
        <f t="shared" si="105"/>
        <v>184820445.2615118</v>
      </c>
      <c r="R479" s="4">
        <f t="shared" si="105"/>
        <v>24642726034.868225</v>
      </c>
      <c r="S479" s="4">
        <f t="shared" si="105"/>
        <v>-1848204452.6151199</v>
      </c>
      <c r="T479" s="3"/>
      <c r="U479" s="4">
        <f t="shared" si="103"/>
        <v>43165172.847999997</v>
      </c>
      <c r="V479">
        <f t="shared" si="104"/>
        <v>500160050515.12274</v>
      </c>
    </row>
    <row r="480" spans="1:22" x14ac:dyDescent="0.5">
      <c r="A480" s="3">
        <v>50</v>
      </c>
      <c r="B480" s="3">
        <v>0.339948784</v>
      </c>
      <c r="C480" s="3">
        <v>5</v>
      </c>
      <c r="D480" s="3">
        <v>20</v>
      </c>
      <c r="E480" s="3">
        <v>0.05</v>
      </c>
      <c r="F480" s="3">
        <f t="shared" si="97"/>
        <v>2.3817145262624893</v>
      </c>
      <c r="G480" s="5">
        <v>0.4</v>
      </c>
      <c r="H480" s="4">
        <v>40000000</v>
      </c>
      <c r="I480" s="4">
        <f t="shared" si="95"/>
        <v>13597951.359999999</v>
      </c>
      <c r="J480" s="3">
        <v>210000000000</v>
      </c>
      <c r="K480" s="4">
        <f t="shared" si="96"/>
        <v>0.10291630386747225</v>
      </c>
      <c r="L480" s="6">
        <f t="shared" si="98"/>
        <v>2.0583260773494452</v>
      </c>
      <c r="M480" s="4">
        <f t="shared" si="99"/>
        <v>13947627.042681502</v>
      </c>
      <c r="N480" s="4">
        <f t="shared" si="100"/>
        <v>1394762704.2681503</v>
      </c>
      <c r="O480" s="4">
        <f t="shared" si="101"/>
        <v>185968360569.0867</v>
      </c>
      <c r="P480" s="4">
        <f t="shared" si="102"/>
        <v>-13947627042.681503</v>
      </c>
      <c r="Q480" s="4">
        <f t="shared" si="105"/>
        <v>203117168.4256525</v>
      </c>
      <c r="R480" s="4">
        <f t="shared" si="105"/>
        <v>27082289123.420349</v>
      </c>
      <c r="S480" s="4">
        <f t="shared" si="105"/>
        <v>-2031171684.2565231</v>
      </c>
      <c r="T480" s="3"/>
      <c r="U480" s="4">
        <f t="shared" si="103"/>
        <v>38074263.807999998</v>
      </c>
      <c r="V480">
        <f t="shared" si="104"/>
        <v>500160050515.12274</v>
      </c>
    </row>
    <row r="481" spans="1:22" x14ac:dyDescent="0.5">
      <c r="A481" s="3">
        <v>50</v>
      </c>
      <c r="B481" s="3">
        <v>0.29449423800000002</v>
      </c>
      <c r="C481" s="3">
        <v>5</v>
      </c>
      <c r="D481" s="3">
        <v>20</v>
      </c>
      <c r="E481" s="3">
        <v>0.05</v>
      </c>
      <c r="F481" s="3">
        <f t="shared" si="97"/>
        <v>2.3817145262624893</v>
      </c>
      <c r="G481" s="5">
        <v>0.4</v>
      </c>
      <c r="H481" s="4">
        <v>40000000</v>
      </c>
      <c r="I481" s="4">
        <f t="shared" si="95"/>
        <v>11779769.520000001</v>
      </c>
      <c r="J481" s="3">
        <v>210000000000</v>
      </c>
      <c r="K481" s="4">
        <f t="shared" si="96"/>
        <v>0.10291630386747225</v>
      </c>
      <c r="L481" s="6">
        <f t="shared" si="98"/>
        <v>2.0583260773494452</v>
      </c>
      <c r="M481" s="4">
        <f t="shared" si="99"/>
        <v>11939026.374239381</v>
      </c>
      <c r="N481" s="4">
        <f t="shared" si="100"/>
        <v>1193902637.4239383</v>
      </c>
      <c r="O481" s="4">
        <f t="shared" si="101"/>
        <v>159187018323.19174</v>
      </c>
      <c r="P481" s="4">
        <f t="shared" si="102"/>
        <v>-11939026374.239382</v>
      </c>
      <c r="Q481" s="4">
        <f t="shared" si="105"/>
        <v>200860066.84421206</v>
      </c>
      <c r="R481" s="4">
        <f t="shared" si="105"/>
        <v>26781342245.894958</v>
      </c>
      <c r="S481" s="4">
        <f t="shared" si="105"/>
        <v>-2008600668.4421215</v>
      </c>
      <c r="T481" s="3"/>
      <c r="U481" s="4">
        <f t="shared" si="103"/>
        <v>32983354.656000003</v>
      </c>
      <c r="V481">
        <f t="shared" si="104"/>
        <v>500160050515.12274</v>
      </c>
    </row>
    <row r="482" spans="1:22" x14ac:dyDescent="0.5">
      <c r="A482" s="3">
        <v>50</v>
      </c>
      <c r="B482" s="3">
        <v>0.25288092200000001</v>
      </c>
      <c r="C482" s="3">
        <v>5</v>
      </c>
      <c r="D482" s="3">
        <v>20</v>
      </c>
      <c r="E482" s="3">
        <v>0.05</v>
      </c>
      <c r="F482" s="3">
        <f t="shared" si="97"/>
        <v>2.3817145262624893</v>
      </c>
      <c r="G482" s="5">
        <v>0.4</v>
      </c>
      <c r="H482" s="4">
        <v>40000000</v>
      </c>
      <c r="I482" s="4">
        <f t="shared" si="95"/>
        <v>10115236.880000001</v>
      </c>
      <c r="J482" s="3">
        <v>210000000000</v>
      </c>
      <c r="K482" s="4">
        <f t="shared" si="96"/>
        <v>0.10291630386747225</v>
      </c>
      <c r="L482" s="6">
        <f t="shared" si="98"/>
        <v>2.0583260773494452</v>
      </c>
      <c r="M482" s="4">
        <f t="shared" si="99"/>
        <v>10122663.060414292</v>
      </c>
      <c r="N482" s="4">
        <f t="shared" si="100"/>
        <v>1012266306.0414292</v>
      </c>
      <c r="O482" s="4">
        <f t="shared" si="101"/>
        <v>134968840805.52388</v>
      </c>
      <c r="P482" s="4">
        <f t="shared" si="102"/>
        <v>-10122663060.414291</v>
      </c>
      <c r="Q482" s="4">
        <f t="shared" si="105"/>
        <v>181636331.38250911</v>
      </c>
      <c r="R482" s="4">
        <f t="shared" si="105"/>
        <v>24218177517.667862</v>
      </c>
      <c r="S482" s="4">
        <f t="shared" si="105"/>
        <v>-1816363313.8250904</v>
      </c>
      <c r="T482" s="3"/>
      <c r="U482" s="4">
        <f t="shared" si="103"/>
        <v>28322663.264000002</v>
      </c>
      <c r="V482">
        <f t="shared" si="104"/>
        <v>500160050515.12274</v>
      </c>
    </row>
    <row r="483" spans="1:22" x14ac:dyDescent="0.5">
      <c r="A483" s="3">
        <v>50</v>
      </c>
      <c r="B483" s="3">
        <v>0.204225352</v>
      </c>
      <c r="C483" s="3">
        <v>5</v>
      </c>
      <c r="D483" s="3">
        <v>20</v>
      </c>
      <c r="E483" s="3">
        <v>0.05</v>
      </c>
      <c r="F483" s="3">
        <f t="shared" si="97"/>
        <v>2.3817145262624893</v>
      </c>
      <c r="G483" s="5">
        <v>0.4</v>
      </c>
      <c r="H483" s="4">
        <v>40000000</v>
      </c>
      <c r="I483" s="4">
        <f t="shared" si="95"/>
        <v>8169014.0800000001</v>
      </c>
      <c r="J483" s="3">
        <v>210000000000</v>
      </c>
      <c r="K483" s="4">
        <f t="shared" si="96"/>
        <v>0.10291630386747225</v>
      </c>
      <c r="L483" s="6">
        <f t="shared" si="98"/>
        <v>2.0583260773494452</v>
      </c>
      <c r="M483" s="4">
        <f t="shared" si="99"/>
        <v>8030720.3062169859</v>
      </c>
      <c r="N483" s="4">
        <f t="shared" si="100"/>
        <v>803072030.62169862</v>
      </c>
      <c r="O483" s="4">
        <f t="shared" si="101"/>
        <v>107076270749.55981</v>
      </c>
      <c r="P483" s="4">
        <f t="shared" si="102"/>
        <v>-8030720306.2169867</v>
      </c>
      <c r="Q483" s="4">
        <f t="shared" si="105"/>
        <v>209194275.41973054</v>
      </c>
      <c r="R483" s="4">
        <f t="shared" si="105"/>
        <v>27892570055.964066</v>
      </c>
      <c r="S483" s="4">
        <f t="shared" si="105"/>
        <v>-2091942754.1973047</v>
      </c>
      <c r="T483" s="3"/>
      <c r="U483" s="4">
        <f t="shared" si="103"/>
        <v>22873239.423999999</v>
      </c>
      <c r="V483">
        <f t="shared" si="104"/>
        <v>500160050515.12274</v>
      </c>
    </row>
    <row r="484" spans="1:22" x14ac:dyDescent="0.5">
      <c r="A484" s="3">
        <v>50</v>
      </c>
      <c r="B484" s="3">
        <v>0.16709346999999999</v>
      </c>
      <c r="C484" s="3">
        <v>5</v>
      </c>
      <c r="D484" s="3">
        <v>20</v>
      </c>
      <c r="E484" s="3">
        <v>0.05</v>
      </c>
      <c r="F484" s="3">
        <f t="shared" si="97"/>
        <v>2.3817145262624893</v>
      </c>
      <c r="G484" s="5">
        <v>0.4</v>
      </c>
      <c r="H484" s="4">
        <v>40000000</v>
      </c>
      <c r="I484" s="4">
        <f t="shared" si="95"/>
        <v>6683738.7999999998</v>
      </c>
      <c r="J484" s="3">
        <v>210000000000</v>
      </c>
      <c r="K484" s="4">
        <f t="shared" si="96"/>
        <v>0.10291630386747225</v>
      </c>
      <c r="L484" s="6">
        <f t="shared" si="98"/>
        <v>2.0583260773494452</v>
      </c>
      <c r="M484" s="4">
        <f t="shared" si="99"/>
        <v>6461625.9010280855</v>
      </c>
      <c r="N484" s="4">
        <f t="shared" si="100"/>
        <v>646162590.10280859</v>
      </c>
      <c r="O484" s="4">
        <f t="shared" si="101"/>
        <v>86155012013.707809</v>
      </c>
      <c r="P484" s="4">
        <f t="shared" si="102"/>
        <v>-6461625901.0280857</v>
      </c>
      <c r="Q484" s="4">
        <f t="shared" si="105"/>
        <v>156909440.51889002</v>
      </c>
      <c r="R484" s="4">
        <f t="shared" si="105"/>
        <v>20921258735.852005</v>
      </c>
      <c r="S484" s="4">
        <f t="shared" si="105"/>
        <v>-1569094405.1889009</v>
      </c>
      <c r="T484" s="3"/>
      <c r="U484" s="4">
        <f t="shared" si="103"/>
        <v>18714468.639999997</v>
      </c>
      <c r="V484">
        <f t="shared" si="104"/>
        <v>500160050515.12274</v>
      </c>
    </row>
    <row r="485" spans="1:22" x14ac:dyDescent="0.5">
      <c r="A485" s="3">
        <v>50</v>
      </c>
      <c r="B485" s="3">
        <v>0.13572343100000001</v>
      </c>
      <c r="C485" s="3">
        <v>5</v>
      </c>
      <c r="D485" s="3">
        <v>20</v>
      </c>
      <c r="E485" s="3">
        <v>0.05</v>
      </c>
      <c r="F485" s="3">
        <f t="shared" si="97"/>
        <v>2.3817145262624893</v>
      </c>
      <c r="G485" s="5">
        <v>0.4</v>
      </c>
      <c r="H485" s="4">
        <v>40000000</v>
      </c>
      <c r="I485" s="4">
        <f t="shared" si="95"/>
        <v>5428937.2400000002</v>
      </c>
      <c r="J485" s="3">
        <v>210000000000</v>
      </c>
      <c r="K485" s="4">
        <f t="shared" si="96"/>
        <v>0.10291630386747225</v>
      </c>
      <c r="L485" s="6">
        <f t="shared" si="98"/>
        <v>2.0583260773494452</v>
      </c>
      <c r="M485" s="4">
        <f t="shared" si="99"/>
        <v>5158361.5087152719</v>
      </c>
      <c r="N485" s="4">
        <f t="shared" si="100"/>
        <v>515836150.87152719</v>
      </c>
      <c r="O485" s="4">
        <f t="shared" si="101"/>
        <v>68778153449.536957</v>
      </c>
      <c r="P485" s="4">
        <f t="shared" si="102"/>
        <v>-5158361508.7152719</v>
      </c>
      <c r="Q485" s="4">
        <f t="shared" si="105"/>
        <v>130326439.2312814</v>
      </c>
      <c r="R485" s="4">
        <f t="shared" si="105"/>
        <v>17376858564.170853</v>
      </c>
      <c r="S485" s="4">
        <f t="shared" si="105"/>
        <v>-1303264392.3128138</v>
      </c>
      <c r="T485" s="3"/>
      <c r="U485" s="4">
        <f t="shared" si="103"/>
        <v>15201024.272</v>
      </c>
      <c r="V485">
        <f t="shared" si="104"/>
        <v>500160050515.12274</v>
      </c>
    </row>
    <row r="486" spans="1:22" x14ac:dyDescent="0.5">
      <c r="A486" s="3">
        <v>60</v>
      </c>
      <c r="B486" s="3">
        <v>1</v>
      </c>
      <c r="C486" s="3">
        <v>5</v>
      </c>
      <c r="D486" s="3">
        <v>25</v>
      </c>
      <c r="E486" s="3">
        <v>0.05</v>
      </c>
      <c r="F486" s="3">
        <f t="shared" si="97"/>
        <v>2.3817145262624893</v>
      </c>
      <c r="G486" s="5">
        <v>0.4</v>
      </c>
      <c r="H486" s="4">
        <v>40000000</v>
      </c>
      <c r="I486" s="4">
        <f>B486*$H$486</f>
        <v>40000000</v>
      </c>
      <c r="J486" s="3">
        <v>210000000000</v>
      </c>
      <c r="K486" s="4">
        <f>(($M$486*C486)/(4*J486*F486))^(1/4)</f>
        <v>0.10291630386747225</v>
      </c>
      <c r="L486" s="6">
        <f t="shared" si="98"/>
        <v>2.572907596686806</v>
      </c>
      <c r="M486" s="4">
        <f t="shared" si="99"/>
        <v>44888563.702364422</v>
      </c>
      <c r="N486" s="4">
        <f t="shared" si="100"/>
        <v>2180828596.417944</v>
      </c>
      <c r="O486" s="4">
        <f t="shared" si="101"/>
        <v>102949247482.36935</v>
      </c>
      <c r="P486" s="4">
        <f t="shared" si="102"/>
        <v>-10595156036.823126</v>
      </c>
      <c r="Q486" s="4">
        <f>N486</f>
        <v>2180828596.417944</v>
      </c>
      <c r="R486" s="4">
        <f t="shared" ref="R486:S486" si="106">O486</f>
        <v>102949247482.36935</v>
      </c>
      <c r="S486" s="4">
        <f t="shared" si="106"/>
        <v>-10595156036.823126</v>
      </c>
      <c r="T486" s="3"/>
      <c r="U486" s="4">
        <f t="shared" si="103"/>
        <v>112000000</v>
      </c>
      <c r="V486">
        <f t="shared" si="104"/>
        <v>500160050515.12274</v>
      </c>
    </row>
    <row r="487" spans="1:22" x14ac:dyDescent="0.5">
      <c r="A487" s="3">
        <v>60</v>
      </c>
      <c r="B487" s="3">
        <v>1</v>
      </c>
      <c r="C487" s="3">
        <v>5</v>
      </c>
      <c r="D487" s="3">
        <v>25</v>
      </c>
      <c r="E487" s="3">
        <v>0.05</v>
      </c>
      <c r="F487" s="3">
        <f t="shared" si="97"/>
        <v>2.3817145262624893</v>
      </c>
      <c r="G487" s="5">
        <v>0.4</v>
      </c>
      <c r="H487" s="4">
        <v>40000000</v>
      </c>
      <c r="I487" s="4">
        <f t="shared" ref="I487:I529" si="107">B487*$H$486</f>
        <v>40000000</v>
      </c>
      <c r="J487" s="3">
        <v>210000000000</v>
      </c>
      <c r="K487" s="4">
        <f t="shared" ref="K487:K529" si="108">(($M$486*C487)/(4*J487*F487))^(1/4)</f>
        <v>0.10291630386747225</v>
      </c>
      <c r="L487" s="6">
        <f t="shared" si="98"/>
        <v>2.572907596686806</v>
      </c>
      <c r="M487" s="4">
        <f t="shared" si="99"/>
        <v>44888563.702364422</v>
      </c>
      <c r="N487" s="4">
        <f t="shared" si="100"/>
        <v>2180828596.417944</v>
      </c>
      <c r="O487" s="4">
        <f t="shared" si="101"/>
        <v>102949247482.36935</v>
      </c>
      <c r="P487" s="4">
        <f t="shared" si="102"/>
        <v>-10595156036.823126</v>
      </c>
      <c r="Q487" s="4">
        <f t="shared" si="105"/>
        <v>0</v>
      </c>
      <c r="R487" s="4">
        <f t="shared" si="105"/>
        <v>0</v>
      </c>
      <c r="S487" s="4">
        <f t="shared" si="105"/>
        <v>0</v>
      </c>
      <c r="T487" s="3"/>
      <c r="U487" s="4">
        <f t="shared" si="103"/>
        <v>112000000</v>
      </c>
      <c r="V487">
        <f t="shared" si="104"/>
        <v>500160050515.12274</v>
      </c>
    </row>
    <row r="488" spans="1:22" x14ac:dyDescent="0.5">
      <c r="A488" s="3">
        <v>60</v>
      </c>
      <c r="B488" s="3">
        <v>1</v>
      </c>
      <c r="C488" s="3">
        <v>5</v>
      </c>
      <c r="D488" s="3">
        <v>25</v>
      </c>
      <c r="E488" s="3">
        <v>0.05</v>
      </c>
      <c r="F488" s="3">
        <f t="shared" si="97"/>
        <v>2.3817145262624893</v>
      </c>
      <c r="G488" s="5">
        <v>0.4</v>
      </c>
      <c r="H488" s="4">
        <v>40000000</v>
      </c>
      <c r="I488" s="4">
        <f t="shared" si="107"/>
        <v>40000000</v>
      </c>
      <c r="J488" s="3">
        <v>210000000000</v>
      </c>
      <c r="K488" s="4">
        <f t="shared" si="108"/>
        <v>0.10291630386747225</v>
      </c>
      <c r="L488" s="6">
        <f t="shared" si="98"/>
        <v>2.572907596686806</v>
      </c>
      <c r="M488" s="4">
        <f t="shared" si="99"/>
        <v>44888563.702364422</v>
      </c>
      <c r="N488" s="4">
        <f t="shared" si="100"/>
        <v>2180828596.417944</v>
      </c>
      <c r="O488" s="4">
        <f t="shared" si="101"/>
        <v>102949247482.36935</v>
      </c>
      <c r="P488" s="4">
        <f t="shared" si="102"/>
        <v>-10595156036.823126</v>
      </c>
      <c r="Q488" s="4">
        <f t="shared" si="105"/>
        <v>0</v>
      </c>
      <c r="R488" s="4">
        <f t="shared" si="105"/>
        <v>0</v>
      </c>
      <c r="S488" s="4">
        <f t="shared" si="105"/>
        <v>0</v>
      </c>
      <c r="T488" s="3"/>
      <c r="U488" s="4">
        <f t="shared" si="103"/>
        <v>112000000</v>
      </c>
      <c r="V488">
        <f t="shared" si="104"/>
        <v>500160050515.12274</v>
      </c>
    </row>
    <row r="489" spans="1:22" x14ac:dyDescent="0.5">
      <c r="A489" s="3">
        <v>60</v>
      </c>
      <c r="B489" s="3">
        <v>1</v>
      </c>
      <c r="C489" s="3">
        <v>5</v>
      </c>
      <c r="D489" s="3">
        <v>25</v>
      </c>
      <c r="E489" s="3">
        <v>0.05</v>
      </c>
      <c r="F489" s="3">
        <f t="shared" si="97"/>
        <v>2.3817145262624893</v>
      </c>
      <c r="G489" s="5">
        <v>0.4</v>
      </c>
      <c r="H489" s="4">
        <v>40000000</v>
      </c>
      <c r="I489" s="4">
        <f t="shared" si="107"/>
        <v>40000000</v>
      </c>
      <c r="J489" s="3">
        <v>210000000000</v>
      </c>
      <c r="K489" s="4">
        <f t="shared" si="108"/>
        <v>0.10291630386747225</v>
      </c>
      <c r="L489" s="6">
        <f t="shared" si="98"/>
        <v>2.572907596686806</v>
      </c>
      <c r="M489" s="4">
        <f t="shared" si="99"/>
        <v>44888563.702364422</v>
      </c>
      <c r="N489" s="4">
        <f t="shared" si="100"/>
        <v>2180828596.417944</v>
      </c>
      <c r="O489" s="4">
        <f t="shared" si="101"/>
        <v>102949247482.36935</v>
      </c>
      <c r="P489" s="4">
        <f t="shared" si="102"/>
        <v>-10595156036.823126</v>
      </c>
      <c r="Q489" s="4">
        <f t="shared" si="105"/>
        <v>0</v>
      </c>
      <c r="R489" s="4">
        <f t="shared" si="105"/>
        <v>0</v>
      </c>
      <c r="S489" s="4">
        <f t="shared" si="105"/>
        <v>0</v>
      </c>
      <c r="T489" s="3"/>
      <c r="U489" s="4">
        <f t="shared" si="103"/>
        <v>112000000</v>
      </c>
      <c r="V489">
        <f t="shared" si="104"/>
        <v>500160050515.12274</v>
      </c>
    </row>
    <row r="490" spans="1:22" x14ac:dyDescent="0.5">
      <c r="A490" s="3">
        <v>60</v>
      </c>
      <c r="B490" s="3">
        <v>1</v>
      </c>
      <c r="C490" s="3">
        <v>5</v>
      </c>
      <c r="D490" s="3">
        <v>25</v>
      </c>
      <c r="E490" s="3">
        <v>0.05</v>
      </c>
      <c r="F490" s="3">
        <f t="shared" si="97"/>
        <v>2.3817145262624893</v>
      </c>
      <c r="G490" s="5">
        <v>0.4</v>
      </c>
      <c r="H490" s="4">
        <v>40000000</v>
      </c>
      <c r="I490" s="4">
        <f t="shared" si="107"/>
        <v>40000000</v>
      </c>
      <c r="J490" s="3">
        <v>210000000000</v>
      </c>
      <c r="K490" s="4">
        <f t="shared" si="108"/>
        <v>0.10291630386747225</v>
      </c>
      <c r="L490" s="6">
        <f t="shared" si="98"/>
        <v>2.572907596686806</v>
      </c>
      <c r="M490" s="4">
        <f t="shared" si="99"/>
        <v>44888563.702364422</v>
      </c>
      <c r="N490" s="4">
        <f t="shared" si="100"/>
        <v>2180828596.417944</v>
      </c>
      <c r="O490" s="4">
        <f t="shared" si="101"/>
        <v>102949247482.36935</v>
      </c>
      <c r="P490" s="4">
        <f t="shared" si="102"/>
        <v>-10595156036.823126</v>
      </c>
      <c r="Q490" s="4">
        <f t="shared" si="105"/>
        <v>0</v>
      </c>
      <c r="R490" s="4">
        <f t="shared" si="105"/>
        <v>0</v>
      </c>
      <c r="S490" s="4">
        <f t="shared" si="105"/>
        <v>0</v>
      </c>
      <c r="T490" s="3"/>
      <c r="U490" s="4">
        <f t="shared" si="103"/>
        <v>112000000</v>
      </c>
      <c r="V490">
        <f t="shared" si="104"/>
        <v>500160050515.12274</v>
      </c>
    </row>
    <row r="491" spans="1:22" x14ac:dyDescent="0.5">
      <c r="A491" s="3">
        <v>60</v>
      </c>
      <c r="B491" s="3">
        <v>1</v>
      </c>
      <c r="C491" s="3">
        <v>5</v>
      </c>
      <c r="D491" s="3">
        <v>25</v>
      </c>
      <c r="E491" s="3">
        <v>0.05</v>
      </c>
      <c r="F491" s="3">
        <f t="shared" si="97"/>
        <v>2.3817145262624893</v>
      </c>
      <c r="G491" s="5">
        <v>0.4</v>
      </c>
      <c r="H491" s="4">
        <v>40000000</v>
      </c>
      <c r="I491" s="4">
        <f t="shared" si="107"/>
        <v>40000000</v>
      </c>
      <c r="J491" s="3">
        <v>210000000000</v>
      </c>
      <c r="K491" s="4">
        <f t="shared" si="108"/>
        <v>0.10291630386747225</v>
      </c>
      <c r="L491" s="6">
        <f t="shared" si="98"/>
        <v>2.572907596686806</v>
      </c>
      <c r="M491" s="4">
        <f t="shared" si="99"/>
        <v>44888563.702364422</v>
      </c>
      <c r="N491" s="4">
        <f t="shared" si="100"/>
        <v>2180828596.417944</v>
      </c>
      <c r="O491" s="4">
        <f t="shared" si="101"/>
        <v>102949247482.36935</v>
      </c>
      <c r="P491" s="4">
        <f t="shared" si="102"/>
        <v>-10595156036.823126</v>
      </c>
      <c r="Q491" s="4">
        <f t="shared" si="105"/>
        <v>0</v>
      </c>
      <c r="R491" s="4">
        <f t="shared" si="105"/>
        <v>0</v>
      </c>
      <c r="S491" s="4">
        <f t="shared" si="105"/>
        <v>0</v>
      </c>
      <c r="T491" s="3"/>
      <c r="U491" s="4">
        <f t="shared" si="103"/>
        <v>112000000</v>
      </c>
      <c r="V491">
        <f t="shared" si="104"/>
        <v>500160050515.12274</v>
      </c>
    </row>
    <row r="492" spans="1:22" x14ac:dyDescent="0.5">
      <c r="A492" s="3">
        <v>60</v>
      </c>
      <c r="B492" s="3">
        <v>1</v>
      </c>
      <c r="C492" s="3">
        <v>5</v>
      </c>
      <c r="D492" s="3">
        <v>25</v>
      </c>
      <c r="E492" s="3">
        <v>0.05</v>
      </c>
      <c r="F492" s="3">
        <f t="shared" si="97"/>
        <v>2.3817145262624893</v>
      </c>
      <c r="G492" s="5">
        <v>0.4</v>
      </c>
      <c r="H492" s="4">
        <v>40000000</v>
      </c>
      <c r="I492" s="4">
        <f t="shared" si="107"/>
        <v>40000000</v>
      </c>
      <c r="J492" s="3">
        <v>210000000000</v>
      </c>
      <c r="K492" s="4">
        <f t="shared" si="108"/>
        <v>0.10291630386747225</v>
      </c>
      <c r="L492" s="6">
        <f t="shared" si="98"/>
        <v>2.572907596686806</v>
      </c>
      <c r="M492" s="4">
        <f t="shared" si="99"/>
        <v>44888563.702364422</v>
      </c>
      <c r="N492" s="4">
        <f t="shared" si="100"/>
        <v>2180828596.417944</v>
      </c>
      <c r="O492" s="4">
        <f t="shared" si="101"/>
        <v>102949247482.36935</v>
      </c>
      <c r="P492" s="4">
        <f t="shared" si="102"/>
        <v>-10595156036.823126</v>
      </c>
      <c r="Q492" s="4">
        <f t="shared" si="105"/>
        <v>0</v>
      </c>
      <c r="R492" s="4">
        <f t="shared" si="105"/>
        <v>0</v>
      </c>
      <c r="S492" s="4">
        <f t="shared" si="105"/>
        <v>0</v>
      </c>
      <c r="T492" s="3"/>
      <c r="U492" s="4">
        <f t="shared" si="103"/>
        <v>112000000</v>
      </c>
      <c r="V492">
        <f t="shared" si="104"/>
        <v>500160050515.12274</v>
      </c>
    </row>
    <row r="493" spans="1:22" x14ac:dyDescent="0.5">
      <c r="A493" s="3">
        <v>60</v>
      </c>
      <c r="B493" s="3">
        <v>1</v>
      </c>
      <c r="C493" s="3">
        <v>5</v>
      </c>
      <c r="D493" s="3">
        <v>25</v>
      </c>
      <c r="E493" s="3">
        <v>0.05</v>
      </c>
      <c r="F493" s="3">
        <f t="shared" si="97"/>
        <v>2.3817145262624893</v>
      </c>
      <c r="G493" s="5">
        <v>0.4</v>
      </c>
      <c r="H493" s="4">
        <v>40000000</v>
      </c>
      <c r="I493" s="4">
        <f t="shared" si="107"/>
        <v>40000000</v>
      </c>
      <c r="J493" s="3">
        <v>210000000000</v>
      </c>
      <c r="K493" s="4">
        <f t="shared" si="108"/>
        <v>0.10291630386747225</v>
      </c>
      <c r="L493" s="6">
        <f t="shared" si="98"/>
        <v>2.572907596686806</v>
      </c>
      <c r="M493" s="4">
        <f t="shared" si="99"/>
        <v>44888563.702364422</v>
      </c>
      <c r="N493" s="4">
        <f t="shared" si="100"/>
        <v>2180828596.417944</v>
      </c>
      <c r="O493" s="4">
        <f t="shared" si="101"/>
        <v>102949247482.36935</v>
      </c>
      <c r="P493" s="4">
        <f t="shared" si="102"/>
        <v>-10595156036.823126</v>
      </c>
      <c r="Q493" s="4">
        <f t="shared" si="105"/>
        <v>0</v>
      </c>
      <c r="R493" s="4">
        <f t="shared" si="105"/>
        <v>0</v>
      </c>
      <c r="S493" s="4">
        <f t="shared" si="105"/>
        <v>0</v>
      </c>
      <c r="T493" s="3"/>
      <c r="U493" s="4">
        <f t="shared" si="103"/>
        <v>112000000</v>
      </c>
      <c r="V493">
        <f t="shared" si="104"/>
        <v>500160050515.12274</v>
      </c>
    </row>
    <row r="494" spans="1:22" x14ac:dyDescent="0.5">
      <c r="A494" s="3">
        <v>60</v>
      </c>
      <c r="B494" s="3">
        <v>1</v>
      </c>
      <c r="C494" s="3">
        <v>5</v>
      </c>
      <c r="D494" s="3">
        <v>25</v>
      </c>
      <c r="E494" s="3">
        <v>0.05</v>
      </c>
      <c r="F494" s="3">
        <f t="shared" si="97"/>
        <v>2.3817145262624893</v>
      </c>
      <c r="G494" s="5">
        <v>0.4</v>
      </c>
      <c r="H494" s="4">
        <v>40000000</v>
      </c>
      <c r="I494" s="4">
        <f t="shared" si="107"/>
        <v>40000000</v>
      </c>
      <c r="J494" s="3">
        <v>210000000000</v>
      </c>
      <c r="K494" s="4">
        <f t="shared" si="108"/>
        <v>0.10291630386747225</v>
      </c>
      <c r="L494" s="6">
        <f t="shared" si="98"/>
        <v>2.572907596686806</v>
      </c>
      <c r="M494" s="4">
        <f t="shared" si="99"/>
        <v>44888563.702364422</v>
      </c>
      <c r="N494" s="4">
        <f t="shared" si="100"/>
        <v>2180828596.417944</v>
      </c>
      <c r="O494" s="4">
        <f t="shared" si="101"/>
        <v>102949247482.36935</v>
      </c>
      <c r="P494" s="4">
        <f t="shared" si="102"/>
        <v>-10595156036.823126</v>
      </c>
      <c r="Q494" s="4">
        <f t="shared" si="105"/>
        <v>0</v>
      </c>
      <c r="R494" s="4">
        <f t="shared" si="105"/>
        <v>0</v>
      </c>
      <c r="S494" s="4">
        <f t="shared" si="105"/>
        <v>0</v>
      </c>
      <c r="T494" s="3"/>
      <c r="U494" s="4">
        <f t="shared" si="103"/>
        <v>112000000</v>
      </c>
      <c r="V494">
        <f t="shared" si="104"/>
        <v>500160050515.12274</v>
      </c>
    </row>
    <row r="495" spans="1:22" x14ac:dyDescent="0.5">
      <c r="A495" s="3">
        <v>60</v>
      </c>
      <c r="B495" s="3">
        <v>1</v>
      </c>
      <c r="C495" s="3">
        <v>5</v>
      </c>
      <c r="D495" s="3">
        <v>25</v>
      </c>
      <c r="E495" s="3">
        <v>0.05</v>
      </c>
      <c r="F495" s="3">
        <f t="shared" si="97"/>
        <v>2.3817145262624893</v>
      </c>
      <c r="G495" s="5">
        <v>0.4</v>
      </c>
      <c r="H495" s="4">
        <v>40000000</v>
      </c>
      <c r="I495" s="4">
        <f t="shared" si="107"/>
        <v>40000000</v>
      </c>
      <c r="J495" s="3">
        <v>210000000000</v>
      </c>
      <c r="K495" s="4">
        <f t="shared" si="108"/>
        <v>0.10291630386747225</v>
      </c>
      <c r="L495" s="6">
        <f t="shared" si="98"/>
        <v>2.572907596686806</v>
      </c>
      <c r="M495" s="4">
        <f t="shared" si="99"/>
        <v>44888563.702364422</v>
      </c>
      <c r="N495" s="4">
        <f t="shared" si="100"/>
        <v>2180828596.417944</v>
      </c>
      <c r="O495" s="4">
        <f t="shared" si="101"/>
        <v>102949247482.36935</v>
      </c>
      <c r="P495" s="4">
        <f t="shared" si="102"/>
        <v>-10595156036.823126</v>
      </c>
      <c r="Q495" s="4">
        <f t="shared" si="105"/>
        <v>0</v>
      </c>
      <c r="R495" s="4">
        <f t="shared" si="105"/>
        <v>0</v>
      </c>
      <c r="S495" s="4">
        <f t="shared" si="105"/>
        <v>0</v>
      </c>
      <c r="T495" s="3"/>
      <c r="U495" s="4">
        <f t="shared" si="103"/>
        <v>112000000</v>
      </c>
      <c r="V495">
        <f t="shared" si="104"/>
        <v>500160050515.12274</v>
      </c>
    </row>
    <row r="496" spans="1:22" x14ac:dyDescent="0.5">
      <c r="A496" s="3">
        <v>60</v>
      </c>
      <c r="B496" s="3">
        <v>1</v>
      </c>
      <c r="C496" s="3">
        <v>5</v>
      </c>
      <c r="D496" s="3">
        <v>25</v>
      </c>
      <c r="E496" s="3">
        <v>0.05</v>
      </c>
      <c r="F496" s="3">
        <f t="shared" si="97"/>
        <v>2.3817145262624893</v>
      </c>
      <c r="G496" s="5">
        <v>0.4</v>
      </c>
      <c r="H496" s="4">
        <v>40000000</v>
      </c>
      <c r="I496" s="4">
        <f t="shared" si="107"/>
        <v>40000000</v>
      </c>
      <c r="J496" s="3">
        <v>210000000000</v>
      </c>
      <c r="K496" s="4">
        <f t="shared" si="108"/>
        <v>0.10291630386747225</v>
      </c>
      <c r="L496" s="6">
        <f t="shared" si="98"/>
        <v>2.572907596686806</v>
      </c>
      <c r="M496" s="4">
        <f t="shared" si="99"/>
        <v>44888563.702364422</v>
      </c>
      <c r="N496" s="4">
        <f t="shared" si="100"/>
        <v>2180828596.417944</v>
      </c>
      <c r="O496" s="4">
        <f t="shared" si="101"/>
        <v>102949247482.36935</v>
      </c>
      <c r="P496" s="4">
        <f t="shared" si="102"/>
        <v>-10595156036.823126</v>
      </c>
      <c r="Q496" s="4">
        <f t="shared" si="105"/>
        <v>0</v>
      </c>
      <c r="R496" s="4">
        <f t="shared" si="105"/>
        <v>0</v>
      </c>
      <c r="S496" s="4">
        <f t="shared" si="105"/>
        <v>0</v>
      </c>
      <c r="T496" s="3"/>
      <c r="U496" s="4">
        <f t="shared" si="103"/>
        <v>112000000</v>
      </c>
      <c r="V496">
        <f t="shared" si="104"/>
        <v>500160050515.12274</v>
      </c>
    </row>
    <row r="497" spans="1:22" x14ac:dyDescent="0.5">
      <c r="A497" s="3">
        <v>60</v>
      </c>
      <c r="B497" s="3">
        <v>1</v>
      </c>
      <c r="C497" s="3">
        <v>5</v>
      </c>
      <c r="D497" s="3">
        <v>25</v>
      </c>
      <c r="E497" s="3">
        <v>0.05</v>
      </c>
      <c r="F497" s="3">
        <f t="shared" si="97"/>
        <v>2.3817145262624893</v>
      </c>
      <c r="G497" s="5">
        <v>0.4</v>
      </c>
      <c r="H497" s="4">
        <v>40000000</v>
      </c>
      <c r="I497" s="4">
        <f t="shared" si="107"/>
        <v>40000000</v>
      </c>
      <c r="J497" s="3">
        <v>210000000000</v>
      </c>
      <c r="K497" s="4">
        <f t="shared" si="108"/>
        <v>0.10291630386747225</v>
      </c>
      <c r="L497" s="6">
        <f t="shared" si="98"/>
        <v>2.572907596686806</v>
      </c>
      <c r="M497" s="4">
        <f t="shared" si="99"/>
        <v>44888563.702364422</v>
      </c>
      <c r="N497" s="4">
        <f t="shared" si="100"/>
        <v>2180828596.417944</v>
      </c>
      <c r="O497" s="4">
        <f t="shared" si="101"/>
        <v>102949247482.36935</v>
      </c>
      <c r="P497" s="4">
        <f t="shared" si="102"/>
        <v>-10595156036.823126</v>
      </c>
      <c r="Q497" s="4">
        <f t="shared" si="105"/>
        <v>0</v>
      </c>
      <c r="R497" s="4">
        <f t="shared" si="105"/>
        <v>0</v>
      </c>
      <c r="S497" s="4">
        <f t="shared" si="105"/>
        <v>0</v>
      </c>
      <c r="T497" s="3"/>
      <c r="U497" s="4">
        <f t="shared" si="103"/>
        <v>112000000</v>
      </c>
      <c r="V497">
        <f t="shared" si="104"/>
        <v>500160050515.12274</v>
      </c>
    </row>
    <row r="498" spans="1:22" x14ac:dyDescent="0.5">
      <c r="A498" s="3">
        <v>60</v>
      </c>
      <c r="B498" s="3">
        <v>1</v>
      </c>
      <c r="C498" s="3">
        <v>5</v>
      </c>
      <c r="D498" s="3">
        <v>25</v>
      </c>
      <c r="E498" s="3">
        <v>0.05</v>
      </c>
      <c r="F498" s="3">
        <f t="shared" si="97"/>
        <v>2.3817145262624893</v>
      </c>
      <c r="G498" s="5">
        <v>0.4</v>
      </c>
      <c r="H498" s="4">
        <v>40000000</v>
      </c>
      <c r="I498" s="4">
        <f t="shared" si="107"/>
        <v>40000000</v>
      </c>
      <c r="J498" s="3">
        <v>210000000000</v>
      </c>
      <c r="K498" s="4">
        <f t="shared" si="108"/>
        <v>0.10291630386747225</v>
      </c>
      <c r="L498" s="6">
        <f t="shared" si="98"/>
        <v>2.572907596686806</v>
      </c>
      <c r="M498" s="4">
        <f t="shared" si="99"/>
        <v>44888563.702364422</v>
      </c>
      <c r="N498" s="4">
        <f t="shared" si="100"/>
        <v>2180828596.417944</v>
      </c>
      <c r="O498" s="4">
        <f t="shared" si="101"/>
        <v>102949247482.36935</v>
      </c>
      <c r="P498" s="4">
        <f t="shared" si="102"/>
        <v>-10595156036.823126</v>
      </c>
      <c r="Q498" s="4">
        <f t="shared" si="105"/>
        <v>0</v>
      </c>
      <c r="R498" s="4">
        <f t="shared" si="105"/>
        <v>0</v>
      </c>
      <c r="S498" s="4">
        <f t="shared" si="105"/>
        <v>0</v>
      </c>
      <c r="T498" s="3"/>
      <c r="U498" s="4">
        <f t="shared" si="103"/>
        <v>112000000</v>
      </c>
      <c r="V498">
        <f t="shared" si="104"/>
        <v>500160050515.12274</v>
      </c>
    </row>
    <row r="499" spans="1:22" x14ac:dyDescent="0.5">
      <c r="A499" s="3">
        <v>60</v>
      </c>
      <c r="B499" s="3">
        <v>1</v>
      </c>
      <c r="C499" s="3">
        <v>5</v>
      </c>
      <c r="D499" s="3">
        <v>25</v>
      </c>
      <c r="E499" s="3">
        <v>0.05</v>
      </c>
      <c r="F499" s="3">
        <f t="shared" si="97"/>
        <v>2.3817145262624893</v>
      </c>
      <c r="G499" s="5">
        <v>0.4</v>
      </c>
      <c r="H499" s="4">
        <v>40000000</v>
      </c>
      <c r="I499" s="4">
        <f t="shared" si="107"/>
        <v>40000000</v>
      </c>
      <c r="J499" s="3">
        <v>210000000000</v>
      </c>
      <c r="K499" s="4">
        <f t="shared" si="108"/>
        <v>0.10291630386747225</v>
      </c>
      <c r="L499" s="6">
        <f t="shared" si="98"/>
        <v>2.572907596686806</v>
      </c>
      <c r="M499" s="4">
        <f t="shared" si="99"/>
        <v>44888563.702364422</v>
      </c>
      <c r="N499" s="4">
        <f t="shared" si="100"/>
        <v>2180828596.417944</v>
      </c>
      <c r="O499" s="4">
        <f t="shared" si="101"/>
        <v>102949247482.36935</v>
      </c>
      <c r="P499" s="4">
        <f t="shared" si="102"/>
        <v>-10595156036.823126</v>
      </c>
      <c r="Q499" s="4">
        <f t="shared" si="105"/>
        <v>0</v>
      </c>
      <c r="R499" s="4">
        <f t="shared" si="105"/>
        <v>0</v>
      </c>
      <c r="S499" s="4">
        <f t="shared" si="105"/>
        <v>0</v>
      </c>
      <c r="T499" s="3"/>
      <c r="U499" s="4">
        <f t="shared" si="103"/>
        <v>112000000</v>
      </c>
      <c r="V499">
        <f t="shared" si="104"/>
        <v>500160050515.12274</v>
      </c>
    </row>
    <row r="500" spans="1:22" x14ac:dyDescent="0.5">
      <c r="A500" s="3">
        <v>60</v>
      </c>
      <c r="B500" s="3">
        <v>1</v>
      </c>
      <c r="C500" s="3">
        <v>5</v>
      </c>
      <c r="D500" s="3">
        <v>25</v>
      </c>
      <c r="E500" s="3">
        <v>0.05</v>
      </c>
      <c r="F500" s="3">
        <f t="shared" si="97"/>
        <v>2.3817145262624893</v>
      </c>
      <c r="G500" s="5">
        <v>0.4</v>
      </c>
      <c r="H500" s="4">
        <v>40000000</v>
      </c>
      <c r="I500" s="4">
        <f t="shared" si="107"/>
        <v>40000000</v>
      </c>
      <c r="J500" s="3">
        <v>210000000000</v>
      </c>
      <c r="K500" s="4">
        <f t="shared" si="108"/>
        <v>0.10291630386747225</v>
      </c>
      <c r="L500" s="6">
        <f t="shared" si="98"/>
        <v>2.572907596686806</v>
      </c>
      <c r="M500" s="4">
        <f t="shared" si="99"/>
        <v>44888563.702364422</v>
      </c>
      <c r="N500" s="4">
        <f t="shared" si="100"/>
        <v>2180828596.417944</v>
      </c>
      <c r="O500" s="4">
        <f t="shared" si="101"/>
        <v>102949247482.36935</v>
      </c>
      <c r="P500" s="4">
        <f t="shared" si="102"/>
        <v>-10595156036.823126</v>
      </c>
      <c r="Q500" s="4">
        <f t="shared" si="105"/>
        <v>0</v>
      </c>
      <c r="R500" s="4">
        <f t="shared" si="105"/>
        <v>0</v>
      </c>
      <c r="S500" s="4">
        <f t="shared" si="105"/>
        <v>0</v>
      </c>
      <c r="T500" s="3"/>
      <c r="U500" s="4">
        <f t="shared" si="103"/>
        <v>112000000</v>
      </c>
      <c r="V500">
        <f t="shared" si="104"/>
        <v>500160050515.12274</v>
      </c>
    </row>
    <row r="501" spans="1:22" x14ac:dyDescent="0.5">
      <c r="A501" s="3">
        <v>60</v>
      </c>
      <c r="B501" s="3">
        <v>0.99948783600000002</v>
      </c>
      <c r="C501" s="3">
        <v>5</v>
      </c>
      <c r="D501" s="3">
        <v>25</v>
      </c>
      <c r="E501" s="3">
        <v>0.05</v>
      </c>
      <c r="F501" s="3">
        <f t="shared" si="97"/>
        <v>2.3817145262624893</v>
      </c>
      <c r="G501" s="5">
        <v>0.4</v>
      </c>
      <c r="H501" s="4">
        <v>40000000</v>
      </c>
      <c r="I501" s="4">
        <f t="shared" si="107"/>
        <v>39979513.439999998</v>
      </c>
      <c r="J501" s="3">
        <v>210000000000</v>
      </c>
      <c r="K501" s="4">
        <f t="shared" si="108"/>
        <v>0.10291630386747225</v>
      </c>
      <c r="L501" s="6">
        <f t="shared" si="98"/>
        <v>2.572907596686806</v>
      </c>
      <c r="M501" s="4">
        <f t="shared" si="99"/>
        <v>44863658.068747595</v>
      </c>
      <c r="N501" s="4">
        <f t="shared" si="100"/>
        <v>2179618601.8553281</v>
      </c>
      <c r="O501" s="4">
        <f t="shared" si="101"/>
        <v>102892127894.94113</v>
      </c>
      <c r="P501" s="4">
        <f t="shared" si="102"/>
        <v>-10589277500.00658</v>
      </c>
      <c r="Q501" s="4">
        <f t="shared" si="105"/>
        <v>1209994.5626158714</v>
      </c>
      <c r="R501" s="4">
        <f t="shared" si="105"/>
        <v>57119587.428222656</v>
      </c>
      <c r="S501" s="4">
        <f t="shared" si="105"/>
        <v>-5878536.8165454865</v>
      </c>
      <c r="T501" s="3"/>
      <c r="U501" s="4">
        <f t="shared" si="103"/>
        <v>111942637.63199998</v>
      </c>
      <c r="V501">
        <f t="shared" si="104"/>
        <v>500160050515.12274</v>
      </c>
    </row>
    <row r="502" spans="1:22" x14ac:dyDescent="0.5">
      <c r="A502" s="3">
        <v>60</v>
      </c>
      <c r="B502" s="3">
        <v>0.99590268879999999</v>
      </c>
      <c r="C502" s="3">
        <v>5</v>
      </c>
      <c r="D502" s="3">
        <v>25</v>
      </c>
      <c r="E502" s="3">
        <v>0.05</v>
      </c>
      <c r="F502" s="3">
        <f t="shared" si="97"/>
        <v>2.3817145262624893</v>
      </c>
      <c r="G502" s="5">
        <v>0.4</v>
      </c>
      <c r="H502" s="4">
        <v>40000000</v>
      </c>
      <c r="I502" s="4">
        <f t="shared" si="107"/>
        <v>39836107.552000001</v>
      </c>
      <c r="J502" s="3">
        <v>210000000000</v>
      </c>
      <c r="K502" s="4">
        <f t="shared" si="108"/>
        <v>0.10291630386747225</v>
      </c>
      <c r="L502" s="6">
        <f t="shared" si="98"/>
        <v>2.572907596686806</v>
      </c>
      <c r="M502" s="4">
        <f t="shared" si="99"/>
        <v>44689348.47842104</v>
      </c>
      <c r="N502" s="4">
        <f t="shared" si="100"/>
        <v>2171150089.8812189</v>
      </c>
      <c r="O502" s="4">
        <f t="shared" si="101"/>
        <v>102492359230.65363</v>
      </c>
      <c r="P502" s="4">
        <f t="shared" si="102"/>
        <v>-10548134786.676073</v>
      </c>
      <c r="Q502" s="4">
        <f t="shared" si="105"/>
        <v>8468511.9741091728</v>
      </c>
      <c r="R502" s="4">
        <f t="shared" si="105"/>
        <v>399768664.2875061</v>
      </c>
      <c r="S502" s="4">
        <f t="shared" si="105"/>
        <v>-41142713.330507278</v>
      </c>
      <c r="T502" s="3"/>
      <c r="U502" s="4">
        <f t="shared" si="103"/>
        <v>111541101.14559999</v>
      </c>
      <c r="V502">
        <f t="shared" si="104"/>
        <v>500160050515.12274</v>
      </c>
    </row>
    <row r="503" spans="1:22" x14ac:dyDescent="0.5">
      <c r="A503" s="3">
        <v>60</v>
      </c>
      <c r="B503" s="3">
        <v>0.98924455840000003</v>
      </c>
      <c r="C503" s="3">
        <v>5</v>
      </c>
      <c r="D503" s="3">
        <v>25</v>
      </c>
      <c r="E503" s="3">
        <v>0.05</v>
      </c>
      <c r="F503" s="3">
        <f t="shared" si="97"/>
        <v>2.3817145262624893</v>
      </c>
      <c r="G503" s="5">
        <v>0.4</v>
      </c>
      <c r="H503" s="4">
        <v>40000000</v>
      </c>
      <c r="I503" s="4">
        <f t="shared" si="107"/>
        <v>39569782.336000003</v>
      </c>
      <c r="J503" s="3">
        <v>210000000000</v>
      </c>
      <c r="K503" s="4">
        <f t="shared" si="108"/>
        <v>0.10291630386747225</v>
      </c>
      <c r="L503" s="6">
        <f t="shared" si="98"/>
        <v>2.572907596686806</v>
      </c>
      <c r="M503" s="4">
        <f t="shared" si="99"/>
        <v>44365769.516288504</v>
      </c>
      <c r="N503" s="4">
        <f t="shared" si="100"/>
        <v>2155429599.056499</v>
      </c>
      <c r="O503" s="4">
        <f t="shared" si="101"/>
        <v>101750250151.96829</v>
      </c>
      <c r="P503" s="4">
        <f t="shared" si="102"/>
        <v>-10471759663.231283</v>
      </c>
      <c r="Q503" s="4">
        <f t="shared" si="105"/>
        <v>15720490.824719906</v>
      </c>
      <c r="R503" s="4">
        <f t="shared" si="105"/>
        <v>742109078.68533325</v>
      </c>
      <c r="S503" s="4">
        <f t="shared" si="105"/>
        <v>-76375123.444789886</v>
      </c>
      <c r="T503" s="3"/>
      <c r="U503" s="4">
        <f t="shared" si="103"/>
        <v>110795390.54080001</v>
      </c>
      <c r="V503">
        <f t="shared" si="104"/>
        <v>500160050515.12274</v>
      </c>
    </row>
    <row r="504" spans="1:22" x14ac:dyDescent="0.5">
      <c r="A504" s="3">
        <v>60</v>
      </c>
      <c r="B504" s="3">
        <v>0.98399487819999998</v>
      </c>
      <c r="C504" s="3">
        <v>5</v>
      </c>
      <c r="D504" s="3">
        <v>25</v>
      </c>
      <c r="E504" s="3">
        <v>0.05</v>
      </c>
      <c r="F504" s="3">
        <f t="shared" si="97"/>
        <v>2.3817145262624893</v>
      </c>
      <c r="G504" s="5">
        <v>0.4</v>
      </c>
      <c r="H504" s="4">
        <v>40000000</v>
      </c>
      <c r="I504" s="4">
        <f t="shared" si="107"/>
        <v>39359795.127999999</v>
      </c>
      <c r="J504" s="3">
        <v>210000000000</v>
      </c>
      <c r="K504" s="4">
        <f t="shared" si="108"/>
        <v>0.10291630386747225</v>
      </c>
      <c r="L504" s="6">
        <f t="shared" si="98"/>
        <v>2.572907596686806</v>
      </c>
      <c r="M504" s="4">
        <f t="shared" si="99"/>
        <v>44110767.797875032</v>
      </c>
      <c r="N504" s="4">
        <f t="shared" si="100"/>
        <v>2143040807.9305642</v>
      </c>
      <c r="O504" s="4">
        <f t="shared" si="101"/>
        <v>101165418897.58812</v>
      </c>
      <c r="P504" s="4">
        <f t="shared" si="102"/>
        <v>-10411570992.144299</v>
      </c>
      <c r="Q504" s="4">
        <f t="shared" si="105"/>
        <v>12388791.125934839</v>
      </c>
      <c r="R504" s="4">
        <f t="shared" si="105"/>
        <v>584831254.38017273</v>
      </c>
      <c r="S504" s="4">
        <f t="shared" si="105"/>
        <v>-60188671.086984634</v>
      </c>
      <c r="T504" s="3"/>
      <c r="U504" s="4">
        <f t="shared" si="103"/>
        <v>110207426.35839999</v>
      </c>
      <c r="V504">
        <f t="shared" si="104"/>
        <v>500160050515.12274</v>
      </c>
    </row>
    <row r="505" spans="1:22" x14ac:dyDescent="0.5">
      <c r="A505" s="3">
        <v>60</v>
      </c>
      <c r="B505" s="3">
        <v>0.97413572300000006</v>
      </c>
      <c r="C505" s="3">
        <v>5</v>
      </c>
      <c r="D505" s="3">
        <v>25</v>
      </c>
      <c r="E505" s="3">
        <v>0.05</v>
      </c>
      <c r="F505" s="3">
        <f t="shared" si="97"/>
        <v>2.3817145262624893</v>
      </c>
      <c r="G505" s="5">
        <v>0.4</v>
      </c>
      <c r="H505" s="4">
        <v>40000000</v>
      </c>
      <c r="I505" s="4">
        <f t="shared" si="107"/>
        <v>38965428.920000002</v>
      </c>
      <c r="J505" s="3">
        <v>210000000000</v>
      </c>
      <c r="K505" s="4">
        <f t="shared" si="108"/>
        <v>0.10291630386747225</v>
      </c>
      <c r="L505" s="6">
        <f t="shared" si="98"/>
        <v>2.572907596686806</v>
      </c>
      <c r="M505" s="4">
        <f t="shared" si="99"/>
        <v>43632168.911526576</v>
      </c>
      <c r="N505" s="4">
        <f t="shared" si="100"/>
        <v>2119788958.2059197</v>
      </c>
      <c r="O505" s="4">
        <f t="shared" si="101"/>
        <v>100067780855.03076</v>
      </c>
      <c r="P505" s="4">
        <f t="shared" si="102"/>
        <v>-10298606141.819969</v>
      </c>
      <c r="Q505" s="4">
        <f t="shared" si="105"/>
        <v>23251849.724644423</v>
      </c>
      <c r="R505" s="4">
        <f t="shared" si="105"/>
        <v>1097638042.5573578</v>
      </c>
      <c r="S505" s="4">
        <f t="shared" si="105"/>
        <v>-112964850.32432938</v>
      </c>
      <c r="T505" s="3"/>
      <c r="U505" s="4">
        <f t="shared" si="103"/>
        <v>109103200.976</v>
      </c>
      <c r="V505">
        <f t="shared" si="104"/>
        <v>500160050515.12274</v>
      </c>
    </row>
    <row r="506" spans="1:22" x14ac:dyDescent="0.5">
      <c r="A506" s="3">
        <v>60</v>
      </c>
      <c r="B506" s="3">
        <v>0.96197183080000004</v>
      </c>
      <c r="C506" s="3">
        <v>5</v>
      </c>
      <c r="D506" s="3">
        <v>25</v>
      </c>
      <c r="E506" s="3">
        <v>0.05</v>
      </c>
      <c r="F506" s="3">
        <f t="shared" si="97"/>
        <v>2.3817145262624893</v>
      </c>
      <c r="G506" s="5">
        <v>0.4</v>
      </c>
      <c r="H506" s="4">
        <v>40000000</v>
      </c>
      <c r="I506" s="4">
        <f t="shared" si="107"/>
        <v>38478873.232000001</v>
      </c>
      <c r="J506" s="3">
        <v>210000000000</v>
      </c>
      <c r="K506" s="4">
        <f t="shared" si="108"/>
        <v>0.10291630386747225</v>
      </c>
      <c r="L506" s="6">
        <f t="shared" si="98"/>
        <v>2.572907596686806</v>
      </c>
      <c r="M506" s="4">
        <f t="shared" si="99"/>
        <v>43042246.199066795</v>
      </c>
      <c r="N506" s="4">
        <f t="shared" si="100"/>
        <v>2091128644.4222341</v>
      </c>
      <c r="O506" s="4">
        <f t="shared" si="101"/>
        <v>98714828247.253448</v>
      </c>
      <c r="P506" s="4">
        <f t="shared" si="102"/>
        <v>-10159365260.119669</v>
      </c>
      <c r="Q506" s="4">
        <f t="shared" si="105"/>
        <v>28660313.783685684</v>
      </c>
      <c r="R506" s="4">
        <f t="shared" si="105"/>
        <v>1352952607.7773132</v>
      </c>
      <c r="S506" s="4">
        <f t="shared" si="105"/>
        <v>-139240881.70030022</v>
      </c>
      <c r="T506" s="3"/>
      <c r="U506" s="4">
        <f t="shared" si="103"/>
        <v>107740845.04959999</v>
      </c>
      <c r="V506">
        <f t="shared" si="104"/>
        <v>500160050515.12274</v>
      </c>
    </row>
    <row r="507" spans="1:22" x14ac:dyDescent="0.5">
      <c r="A507" s="3">
        <v>60</v>
      </c>
      <c r="B507" s="3">
        <v>0.94903969259999998</v>
      </c>
      <c r="C507" s="3">
        <v>5</v>
      </c>
      <c r="D507" s="3">
        <v>25</v>
      </c>
      <c r="E507" s="3">
        <v>0.05</v>
      </c>
      <c r="F507" s="3">
        <f t="shared" si="97"/>
        <v>2.3817145262624893</v>
      </c>
      <c r="G507" s="5">
        <v>0.4</v>
      </c>
      <c r="H507" s="4">
        <v>40000000</v>
      </c>
      <c r="I507" s="4">
        <f t="shared" si="107"/>
        <v>37961587.703999996</v>
      </c>
      <c r="J507" s="3">
        <v>210000000000</v>
      </c>
      <c r="K507" s="4">
        <f t="shared" si="108"/>
        <v>0.10291630386747225</v>
      </c>
      <c r="L507" s="6">
        <f t="shared" si="98"/>
        <v>2.572907596686806</v>
      </c>
      <c r="M507" s="4">
        <f t="shared" si="99"/>
        <v>42415746.775858402</v>
      </c>
      <c r="N507" s="4">
        <f t="shared" si="100"/>
        <v>2060691318.1840537</v>
      </c>
      <c r="O507" s="4">
        <f t="shared" si="101"/>
        <v>97277989131.725113</v>
      </c>
      <c r="P507" s="4">
        <f t="shared" si="102"/>
        <v>-10011491089.097284</v>
      </c>
      <c r="Q507" s="4">
        <f t="shared" si="105"/>
        <v>30437326.238180399</v>
      </c>
      <c r="R507" s="4">
        <f t="shared" si="105"/>
        <v>1436839115.5283356</v>
      </c>
      <c r="S507" s="4">
        <f t="shared" si="105"/>
        <v>-147874171.02238464</v>
      </c>
      <c r="T507" s="3"/>
      <c r="U507" s="4">
        <f t="shared" si="103"/>
        <v>106292445.57119998</v>
      </c>
      <c r="V507">
        <f t="shared" si="104"/>
        <v>500160050515.12274</v>
      </c>
    </row>
    <row r="508" spans="1:22" x14ac:dyDescent="0.5">
      <c r="A508" s="3">
        <v>60</v>
      </c>
      <c r="B508" s="3">
        <v>0.93329065319999993</v>
      </c>
      <c r="C508" s="3">
        <v>5</v>
      </c>
      <c r="D508" s="3">
        <v>25</v>
      </c>
      <c r="E508" s="3">
        <v>0.05</v>
      </c>
      <c r="F508" s="3">
        <f t="shared" si="97"/>
        <v>2.3817145262624893</v>
      </c>
      <c r="G508" s="5">
        <v>0.4</v>
      </c>
      <c r="H508" s="4">
        <v>40000000</v>
      </c>
      <c r="I508" s="4">
        <f t="shared" si="107"/>
        <v>37331626.127999999</v>
      </c>
      <c r="J508" s="3">
        <v>210000000000</v>
      </c>
      <c r="K508" s="4">
        <f t="shared" si="108"/>
        <v>0.10291630386747225</v>
      </c>
      <c r="L508" s="6">
        <f t="shared" si="98"/>
        <v>2.572907596686806</v>
      </c>
      <c r="M508" s="4">
        <f t="shared" si="99"/>
        <v>41653743.241795339</v>
      </c>
      <c r="N508" s="4">
        <f t="shared" si="100"/>
        <v>2023670773.0698259</v>
      </c>
      <c r="O508" s="4">
        <f t="shared" si="101"/>
        <v>95530379407.991257</v>
      </c>
      <c r="P508" s="4">
        <f t="shared" si="102"/>
        <v>-9831633555.7277431</v>
      </c>
      <c r="Q508" s="4">
        <f t="shared" si="105"/>
        <v>37020545.114227772</v>
      </c>
      <c r="R508" s="4">
        <f t="shared" si="105"/>
        <v>1747609723.7338562</v>
      </c>
      <c r="S508" s="4">
        <f t="shared" si="105"/>
        <v>-179857533.36954117</v>
      </c>
      <c r="T508" s="3"/>
      <c r="U508" s="4">
        <f t="shared" si="103"/>
        <v>104528553.15839998</v>
      </c>
      <c r="V508">
        <f t="shared" si="104"/>
        <v>500160050515.12274</v>
      </c>
    </row>
    <row r="509" spans="1:22" x14ac:dyDescent="0.5">
      <c r="A509" s="3">
        <v>60</v>
      </c>
      <c r="B509" s="3">
        <v>0.91536491679999998</v>
      </c>
      <c r="C509" s="3">
        <v>5</v>
      </c>
      <c r="D509" s="3">
        <v>25</v>
      </c>
      <c r="E509" s="3">
        <v>0.05</v>
      </c>
      <c r="F509" s="3">
        <f t="shared" si="97"/>
        <v>2.3817145262624893</v>
      </c>
      <c r="G509" s="5">
        <v>0.4</v>
      </c>
      <c r="H509" s="4">
        <v>40000000</v>
      </c>
      <c r="I509" s="4">
        <f t="shared" si="107"/>
        <v>36614596.671999998</v>
      </c>
      <c r="J509" s="3">
        <v>210000000000</v>
      </c>
      <c r="K509" s="4">
        <f t="shared" si="108"/>
        <v>0.10291630386747225</v>
      </c>
      <c r="L509" s="6">
        <f t="shared" si="98"/>
        <v>2.572907596686806</v>
      </c>
      <c r="M509" s="4">
        <f t="shared" si="99"/>
        <v>40787726.13879279</v>
      </c>
      <c r="N509" s="4">
        <f t="shared" si="100"/>
        <v>1981596919.3431249</v>
      </c>
      <c r="O509" s="4">
        <f t="shared" si="101"/>
        <v>93544220758.493683</v>
      </c>
      <c r="P509" s="4">
        <f t="shared" si="102"/>
        <v>-9627225448.6270428</v>
      </c>
      <c r="Q509" s="4">
        <f t="shared" si="105"/>
        <v>42073853.726701021</v>
      </c>
      <c r="R509" s="4">
        <f t="shared" si="105"/>
        <v>1986158649.4975739</v>
      </c>
      <c r="S509" s="4">
        <f t="shared" si="105"/>
        <v>-204408107.10070038</v>
      </c>
      <c r="T509" s="3"/>
      <c r="U509" s="4">
        <f t="shared" si="103"/>
        <v>102520870.68159999</v>
      </c>
      <c r="V509">
        <f t="shared" si="104"/>
        <v>500160050515.12274</v>
      </c>
    </row>
    <row r="510" spans="1:22" x14ac:dyDescent="0.5">
      <c r="A510" s="3">
        <v>60</v>
      </c>
      <c r="B510" s="3">
        <v>0.89449423819999996</v>
      </c>
      <c r="C510" s="3">
        <v>5</v>
      </c>
      <c r="D510" s="3">
        <v>25</v>
      </c>
      <c r="E510" s="3">
        <v>0.05</v>
      </c>
      <c r="F510" s="3">
        <f t="shared" si="97"/>
        <v>2.3817145262624893</v>
      </c>
      <c r="G510" s="5">
        <v>0.4</v>
      </c>
      <c r="H510" s="4">
        <v>40000000</v>
      </c>
      <c r="I510" s="4">
        <f t="shared" si="107"/>
        <v>35779769.527999997</v>
      </c>
      <c r="J510" s="3">
        <v>210000000000</v>
      </c>
      <c r="K510" s="4">
        <f t="shared" si="108"/>
        <v>0.10291630386747225</v>
      </c>
      <c r="L510" s="6">
        <f t="shared" si="98"/>
        <v>2.572907596686806</v>
      </c>
      <c r="M510" s="4">
        <f t="shared" si="99"/>
        <v>39781215.856454141</v>
      </c>
      <c r="N510" s="4">
        <f t="shared" si="100"/>
        <v>1932697461.9920936</v>
      </c>
      <c r="O510" s="4">
        <f t="shared" si="101"/>
        <v>91235849369.355804</v>
      </c>
      <c r="P510" s="4">
        <f t="shared" si="102"/>
        <v>-9389656397.3035488</v>
      </c>
      <c r="Q510" s="4">
        <f t="shared" si="105"/>
        <v>48899457.351031303</v>
      </c>
      <c r="R510" s="4">
        <f t="shared" si="105"/>
        <v>2308371389.1378784</v>
      </c>
      <c r="S510" s="4">
        <f t="shared" si="105"/>
        <v>-237569051.32349396</v>
      </c>
      <c r="T510" s="3"/>
      <c r="U510" s="4">
        <f t="shared" si="103"/>
        <v>100183354.67839998</v>
      </c>
      <c r="V510">
        <f t="shared" si="104"/>
        <v>500160050515.12274</v>
      </c>
    </row>
    <row r="511" spans="1:22" x14ac:dyDescent="0.5">
      <c r="A511" s="3">
        <v>60</v>
      </c>
      <c r="B511" s="3">
        <v>0.86837387960000001</v>
      </c>
      <c r="C511" s="3">
        <v>5</v>
      </c>
      <c r="D511" s="3">
        <v>25</v>
      </c>
      <c r="E511" s="3">
        <v>0.05</v>
      </c>
      <c r="F511" s="3">
        <f t="shared" si="97"/>
        <v>2.3817145262624893</v>
      </c>
      <c r="G511" s="5">
        <v>0.4</v>
      </c>
      <c r="H511" s="4">
        <v>40000000</v>
      </c>
      <c r="I511" s="4">
        <f t="shared" si="107"/>
        <v>34734955.184</v>
      </c>
      <c r="J511" s="3">
        <v>210000000000</v>
      </c>
      <c r="K511" s="4">
        <f t="shared" si="108"/>
        <v>0.10291630386747225</v>
      </c>
      <c r="L511" s="6">
        <f t="shared" si="98"/>
        <v>2.572907596686806</v>
      </c>
      <c r="M511" s="4">
        <f t="shared" si="99"/>
        <v>38524294.161407143</v>
      </c>
      <c r="N511" s="4">
        <f t="shared" si="100"/>
        <v>1871632225.1047699</v>
      </c>
      <c r="O511" s="4">
        <f t="shared" si="101"/>
        <v>88353174318.593674</v>
      </c>
      <c r="P511" s="4">
        <f t="shared" si="102"/>
        <v>-9092982135.8281326</v>
      </c>
      <c r="Q511" s="4">
        <f t="shared" si="105"/>
        <v>61065236.887323618</v>
      </c>
      <c r="R511" s="4">
        <f t="shared" si="105"/>
        <v>2882675050.7621307</v>
      </c>
      <c r="S511" s="4">
        <f t="shared" si="105"/>
        <v>-296674261.47541618</v>
      </c>
      <c r="T511" s="3"/>
      <c r="U511" s="4">
        <f t="shared" si="103"/>
        <v>97257874.515199989</v>
      </c>
      <c r="V511">
        <f t="shared" si="104"/>
        <v>500160050515.12274</v>
      </c>
    </row>
    <row r="512" spans="1:22" x14ac:dyDescent="0.5">
      <c r="A512" s="3">
        <v>60</v>
      </c>
      <c r="B512" s="3">
        <v>0.84033290699999996</v>
      </c>
      <c r="C512" s="3">
        <v>5</v>
      </c>
      <c r="D512" s="3">
        <v>25</v>
      </c>
      <c r="E512" s="3">
        <v>0.05</v>
      </c>
      <c r="F512" s="3">
        <f t="shared" si="97"/>
        <v>2.3817145262624893</v>
      </c>
      <c r="G512" s="5">
        <v>0.4</v>
      </c>
      <c r="H512" s="4">
        <v>40000000</v>
      </c>
      <c r="I512" s="4">
        <f t="shared" si="107"/>
        <v>33613316.280000001</v>
      </c>
      <c r="J512" s="3">
        <v>210000000000</v>
      </c>
      <c r="K512" s="4">
        <f t="shared" si="108"/>
        <v>0.10291630386747225</v>
      </c>
      <c r="L512" s="6">
        <f t="shared" si="98"/>
        <v>2.572907596686806</v>
      </c>
      <c r="M512" s="4">
        <f t="shared" si="99"/>
        <v>37178456.9604045</v>
      </c>
      <c r="N512" s="4">
        <f t="shared" si="100"/>
        <v>1806247191.3235476</v>
      </c>
      <c r="O512" s="4">
        <f t="shared" si="101"/>
        <v>85266576850.34584</v>
      </c>
      <c r="P512" s="4">
        <f t="shared" si="102"/>
        <v>-8775320932.8693676</v>
      </c>
      <c r="Q512" s="4">
        <f t="shared" si="105"/>
        <v>65385033.781222343</v>
      </c>
      <c r="R512" s="4">
        <f t="shared" si="105"/>
        <v>3086597468.2478333</v>
      </c>
      <c r="S512" s="4">
        <f t="shared" si="105"/>
        <v>-317661202.95876503</v>
      </c>
      <c r="T512" s="3"/>
      <c r="U512" s="4">
        <f t="shared" si="103"/>
        <v>94117285.583999991</v>
      </c>
      <c r="V512">
        <f t="shared" si="104"/>
        <v>500160050515.12274</v>
      </c>
    </row>
    <row r="513" spans="1:22" x14ac:dyDescent="0.5">
      <c r="A513" s="3">
        <v>60</v>
      </c>
      <c r="B513" s="3">
        <v>0.81049935959999997</v>
      </c>
      <c r="C513" s="3">
        <v>5</v>
      </c>
      <c r="D513" s="3">
        <v>25</v>
      </c>
      <c r="E513" s="3">
        <v>0.05</v>
      </c>
      <c r="F513" s="3">
        <f t="shared" si="97"/>
        <v>2.3817145262624893</v>
      </c>
      <c r="G513" s="5">
        <v>0.4</v>
      </c>
      <c r="H513" s="4">
        <v>40000000</v>
      </c>
      <c r="I513" s="4">
        <f t="shared" si="107"/>
        <v>32419974.384</v>
      </c>
      <c r="J513" s="3">
        <v>210000000000</v>
      </c>
      <c r="K513" s="4">
        <f t="shared" si="108"/>
        <v>0.10291630386747225</v>
      </c>
      <c r="L513" s="6">
        <f t="shared" si="98"/>
        <v>2.572907596686806</v>
      </c>
      <c r="M513" s="4">
        <f t="shared" si="99"/>
        <v>35750691.123539858</v>
      </c>
      <c r="N513" s="4">
        <f t="shared" si="100"/>
        <v>1736881804.9264996</v>
      </c>
      <c r="O513" s="4">
        <f t="shared" si="101"/>
        <v>81992080935.06424</v>
      </c>
      <c r="P513" s="4">
        <f t="shared" si="102"/>
        <v>-8438321916.2394485</v>
      </c>
      <c r="Q513" s="4">
        <f t="shared" si="105"/>
        <v>69365386.397047997</v>
      </c>
      <c r="R513" s="4">
        <f t="shared" si="105"/>
        <v>3274495915.281601</v>
      </c>
      <c r="S513" s="4">
        <f t="shared" si="105"/>
        <v>-336999016.62991905</v>
      </c>
      <c r="T513" s="3"/>
      <c r="U513" s="4">
        <f t="shared" si="103"/>
        <v>90775928.275199994</v>
      </c>
      <c r="V513">
        <f t="shared" si="104"/>
        <v>500160050515.12274</v>
      </c>
    </row>
    <row r="514" spans="1:22" x14ac:dyDescent="0.5">
      <c r="A514" s="3">
        <v>60</v>
      </c>
      <c r="B514" s="3">
        <v>0.7775928298</v>
      </c>
      <c r="C514" s="3">
        <v>5</v>
      </c>
      <c r="D514" s="3">
        <v>25</v>
      </c>
      <c r="E514" s="3">
        <v>0.05</v>
      </c>
      <c r="F514" s="3">
        <f t="shared" si="97"/>
        <v>2.3817145262624893</v>
      </c>
      <c r="G514" s="5">
        <v>0.4</v>
      </c>
      <c r="H514" s="4">
        <v>40000000</v>
      </c>
      <c r="I514" s="4">
        <f t="shared" si="107"/>
        <v>31103713.192000002</v>
      </c>
      <c r="J514" s="3">
        <v>210000000000</v>
      </c>
      <c r="K514" s="4">
        <f t="shared" si="108"/>
        <v>0.10291630386747225</v>
      </c>
      <c r="L514" s="6">
        <f t="shared" si="98"/>
        <v>2.572907596686806</v>
      </c>
      <c r="M514" s="4">
        <f t="shared" si="99"/>
        <v>34180938.069567032</v>
      </c>
      <c r="N514" s="4">
        <f t="shared" si="100"/>
        <v>1660618229.8182137</v>
      </c>
      <c r="O514" s="4">
        <f t="shared" si="101"/>
        <v>78391945793.490494</v>
      </c>
      <c r="P514" s="4">
        <f t="shared" si="102"/>
        <v>-8067809314.0452805</v>
      </c>
      <c r="Q514" s="4">
        <f t="shared" si="105"/>
        <v>76263575.108285904</v>
      </c>
      <c r="R514" s="4">
        <f t="shared" si="105"/>
        <v>3600135141.5737457</v>
      </c>
      <c r="S514" s="4">
        <f t="shared" si="105"/>
        <v>-370512602.19416809</v>
      </c>
      <c r="T514" s="3"/>
      <c r="U514" s="4">
        <f t="shared" si="103"/>
        <v>87090396.937600002</v>
      </c>
      <c r="V514">
        <f t="shared" si="104"/>
        <v>500160050515.12274</v>
      </c>
    </row>
    <row r="515" spans="1:22" x14ac:dyDescent="0.5">
      <c r="A515" s="3">
        <v>60</v>
      </c>
      <c r="B515" s="3">
        <v>0.74379001239999998</v>
      </c>
      <c r="C515" s="3">
        <v>5</v>
      </c>
      <c r="D515" s="3">
        <v>25</v>
      </c>
      <c r="E515" s="3">
        <v>0.05</v>
      </c>
      <c r="F515" s="3">
        <f t="shared" ref="F515:F578" si="109">(3.141592*((C515^4)-(C515-(2*E515))^4))/64</f>
        <v>2.3817145262624893</v>
      </c>
      <c r="G515" s="5">
        <v>0.4</v>
      </c>
      <c r="H515" s="4">
        <v>40000000</v>
      </c>
      <c r="I515" s="4">
        <f t="shared" si="107"/>
        <v>29751600.495999999</v>
      </c>
      <c r="J515" s="3">
        <v>210000000000</v>
      </c>
      <c r="K515" s="4">
        <f t="shared" si="108"/>
        <v>0.10291630386747225</v>
      </c>
      <c r="L515" s="6">
        <f t="shared" ref="L515:L578" si="110">K515*D515</f>
        <v>2.572907596686806</v>
      </c>
      <c r="M515" s="4">
        <f t="shared" ref="M515:M578" si="111">(0.65/C515)*(((2*U515*(1+G515)*C515^4)/(J515*F515))^(1/12))*((2*U515*(1+G515))/(1-G515^2))</f>
        <v>32574186.639560841</v>
      </c>
      <c r="N515" s="4">
        <f t="shared" ref="N515:N578" si="112">IF(L515&gt;=2.5,M515*C515/K515,M515*C515*D515)</f>
        <v>1582557156.4203954</v>
      </c>
      <c r="O515" s="4">
        <f t="shared" ref="O515:O578" si="113">IF(L515&gt;=2.5,M515*C515/(2*K515^3),M515*C515*(D515^3)/3)</f>
        <v>74706957079.947739</v>
      </c>
      <c r="P515" s="4">
        <f t="shared" ref="P515:P578" si="114">IF(L515&gt;=2.5,-(M515*C515/(2*K515^2)),-(M515*C515*(D515^2)/2))</f>
        <v>-7688563895.8541079</v>
      </c>
      <c r="Q515" s="4">
        <f t="shared" si="105"/>
        <v>78061073.397818327</v>
      </c>
      <c r="R515" s="4">
        <f t="shared" si="105"/>
        <v>3684988713.5427551</v>
      </c>
      <c r="S515" s="4">
        <f t="shared" si="105"/>
        <v>-379245418.1911726</v>
      </c>
      <c r="T515" s="3"/>
      <c r="U515" s="4">
        <f t="shared" ref="U515:U578" si="115">2*I515*(G515+1)</f>
        <v>83304481.388799995</v>
      </c>
      <c r="V515">
        <f t="shared" ref="V515:V578" si="116">J515*F515</f>
        <v>500160050515.12274</v>
      </c>
    </row>
    <row r="516" spans="1:22" x14ac:dyDescent="0.5">
      <c r="A516" s="3">
        <v>60</v>
      </c>
      <c r="B516" s="3">
        <v>0.708834827</v>
      </c>
      <c r="C516" s="3">
        <v>5</v>
      </c>
      <c r="D516" s="3">
        <v>25</v>
      </c>
      <c r="E516" s="3">
        <v>0.05</v>
      </c>
      <c r="F516" s="3">
        <f t="shared" si="109"/>
        <v>2.3817145262624893</v>
      </c>
      <c r="G516" s="5">
        <v>0.4</v>
      </c>
      <c r="H516" s="4">
        <v>40000000</v>
      </c>
      <c r="I516" s="4">
        <f t="shared" si="107"/>
        <v>28353393.079999998</v>
      </c>
      <c r="J516" s="3">
        <v>210000000000</v>
      </c>
      <c r="K516" s="4">
        <f t="shared" si="108"/>
        <v>0.10291630386747225</v>
      </c>
      <c r="L516" s="6">
        <f t="shared" si="110"/>
        <v>2.572907596686806</v>
      </c>
      <c r="M516" s="4">
        <f t="shared" si="111"/>
        <v>30919052.566138137</v>
      </c>
      <c r="N516" s="4">
        <f t="shared" si="112"/>
        <v>1502145500.9671416</v>
      </c>
      <c r="O516" s="4">
        <f t="shared" si="113"/>
        <v>70911005655.190491</v>
      </c>
      <c r="P516" s="4">
        <f t="shared" si="114"/>
        <v>-7297898605.5576277</v>
      </c>
      <c r="Q516" s="4">
        <f t="shared" ref="Q516:S579" si="117">N515-N516</f>
        <v>80411655.453253746</v>
      </c>
      <c r="R516" s="4">
        <f t="shared" si="117"/>
        <v>3795951424.7572479</v>
      </c>
      <c r="S516" s="4">
        <f t="shared" si="117"/>
        <v>-390665290.29648018</v>
      </c>
      <c r="T516" s="3"/>
      <c r="U516" s="4">
        <f t="shared" si="115"/>
        <v>79389500.623999983</v>
      </c>
      <c r="V516">
        <f t="shared" si="116"/>
        <v>500160050515.12274</v>
      </c>
    </row>
    <row r="517" spans="1:22" x14ac:dyDescent="0.5">
      <c r="A517" s="3">
        <v>60</v>
      </c>
      <c r="B517" s="3">
        <v>0.67016645360000004</v>
      </c>
      <c r="C517" s="3">
        <v>5</v>
      </c>
      <c r="D517" s="3">
        <v>25</v>
      </c>
      <c r="E517" s="3">
        <v>0.05</v>
      </c>
      <c r="F517" s="3">
        <f t="shared" si="109"/>
        <v>2.3817145262624893</v>
      </c>
      <c r="G517" s="5">
        <v>0.4</v>
      </c>
      <c r="H517" s="4">
        <v>40000000</v>
      </c>
      <c r="I517" s="4">
        <f t="shared" si="107"/>
        <v>26806658.144000001</v>
      </c>
      <c r="J517" s="3">
        <v>210000000000</v>
      </c>
      <c r="K517" s="4">
        <f t="shared" si="108"/>
        <v>0.10291630386747225</v>
      </c>
      <c r="L517" s="6">
        <f t="shared" si="110"/>
        <v>2.572907596686806</v>
      </c>
      <c r="M517" s="4">
        <f t="shared" si="111"/>
        <v>29096022.097807262</v>
      </c>
      <c r="N517" s="4">
        <f t="shared" si="112"/>
        <v>1413576906.8851762</v>
      </c>
      <c r="O517" s="4">
        <f t="shared" si="113"/>
        <v>66729993847.895599</v>
      </c>
      <c r="P517" s="4">
        <f t="shared" si="114"/>
        <v>-6867604323.9245777</v>
      </c>
      <c r="Q517" s="4">
        <f t="shared" si="117"/>
        <v>88568594.081965446</v>
      </c>
      <c r="R517" s="4">
        <f t="shared" si="117"/>
        <v>4181011807.2948914</v>
      </c>
      <c r="S517" s="4">
        <f t="shared" si="117"/>
        <v>-430294281.63304996</v>
      </c>
      <c r="T517" s="3"/>
      <c r="U517" s="4">
        <f t="shared" si="115"/>
        <v>75058642.803199992</v>
      </c>
      <c r="V517">
        <f t="shared" si="116"/>
        <v>500160050515.12274</v>
      </c>
    </row>
    <row r="518" spans="1:22" x14ac:dyDescent="0.5">
      <c r="A518" s="3">
        <v>60</v>
      </c>
      <c r="B518" s="3">
        <v>0.63098591559999995</v>
      </c>
      <c r="C518" s="3">
        <v>5</v>
      </c>
      <c r="D518" s="3">
        <v>25</v>
      </c>
      <c r="E518" s="3">
        <v>0.05</v>
      </c>
      <c r="F518" s="3">
        <f t="shared" si="109"/>
        <v>2.3817145262624893</v>
      </c>
      <c r="G518" s="5">
        <v>0.4</v>
      </c>
      <c r="H518" s="4">
        <v>40000000</v>
      </c>
      <c r="I518" s="4">
        <f t="shared" si="107"/>
        <v>25239436.623999998</v>
      </c>
      <c r="J518" s="3">
        <v>210000000000</v>
      </c>
      <c r="K518" s="4">
        <f t="shared" si="108"/>
        <v>0.10291630386747225</v>
      </c>
      <c r="L518" s="6">
        <f t="shared" si="110"/>
        <v>2.572907596686806</v>
      </c>
      <c r="M518" s="4">
        <f t="shared" si="111"/>
        <v>27257771.527149603</v>
      </c>
      <c r="N518" s="4">
        <f t="shared" si="112"/>
        <v>1324268872.0268307</v>
      </c>
      <c r="O518" s="4">
        <f t="shared" si="113"/>
        <v>62514075642.357788</v>
      </c>
      <c r="P518" s="4">
        <f t="shared" si="114"/>
        <v>-6433717604.8030396</v>
      </c>
      <c r="Q518" s="4">
        <f t="shared" si="117"/>
        <v>89308034.858345509</v>
      </c>
      <c r="R518" s="4">
        <f t="shared" si="117"/>
        <v>4215918205.5378113</v>
      </c>
      <c r="S518" s="4">
        <f t="shared" si="117"/>
        <v>-433886719.12153816</v>
      </c>
      <c r="T518" s="3"/>
      <c r="U518" s="4">
        <f t="shared" si="115"/>
        <v>70670422.547199994</v>
      </c>
      <c r="V518">
        <f t="shared" si="116"/>
        <v>500160050515.12274</v>
      </c>
    </row>
    <row r="519" spans="1:22" x14ac:dyDescent="0.5">
      <c r="A519" s="3">
        <v>60</v>
      </c>
      <c r="B519" s="3">
        <v>0.58758002539999998</v>
      </c>
      <c r="C519" s="3">
        <v>5</v>
      </c>
      <c r="D519" s="3">
        <v>25</v>
      </c>
      <c r="E519" s="3">
        <v>0.05</v>
      </c>
      <c r="F519" s="3">
        <f t="shared" si="109"/>
        <v>2.3817145262624893</v>
      </c>
      <c r="G519" s="5">
        <v>0.4</v>
      </c>
      <c r="H519" s="4">
        <v>40000000</v>
      </c>
      <c r="I519" s="4">
        <f t="shared" si="107"/>
        <v>23503201.015999999</v>
      </c>
      <c r="J519" s="3">
        <v>210000000000</v>
      </c>
      <c r="K519" s="4">
        <f t="shared" si="108"/>
        <v>0.10291630386747225</v>
      </c>
      <c r="L519" s="6">
        <f t="shared" si="110"/>
        <v>2.572907596686806</v>
      </c>
      <c r="M519" s="4">
        <f t="shared" si="111"/>
        <v>25232385.924652632</v>
      </c>
      <c r="N519" s="4">
        <f t="shared" si="112"/>
        <v>1225869224.624748</v>
      </c>
      <c r="O519" s="4">
        <f t="shared" si="113"/>
        <v>57868974386.250862</v>
      </c>
      <c r="P519" s="4">
        <f t="shared" si="114"/>
        <v>-5955660952.4343624</v>
      </c>
      <c r="Q519" s="4">
        <f t="shared" si="117"/>
        <v>98399647.402082682</v>
      </c>
      <c r="R519" s="4">
        <f t="shared" si="117"/>
        <v>4645101256.106926</v>
      </c>
      <c r="S519" s="4">
        <f t="shared" si="117"/>
        <v>-478056652.36867714</v>
      </c>
      <c r="T519" s="3"/>
      <c r="U519" s="4">
        <f t="shared" si="115"/>
        <v>65808962.844799995</v>
      </c>
      <c r="V519">
        <f t="shared" si="116"/>
        <v>500160050515.12274</v>
      </c>
    </row>
    <row r="520" spans="1:22" x14ac:dyDescent="0.5">
      <c r="A520" s="3">
        <v>60</v>
      </c>
      <c r="B520" s="3">
        <v>0.54302176740000008</v>
      </c>
      <c r="C520" s="3">
        <v>5</v>
      </c>
      <c r="D520" s="3">
        <v>25</v>
      </c>
      <c r="E520" s="3">
        <v>0.05</v>
      </c>
      <c r="F520" s="3">
        <f t="shared" si="109"/>
        <v>2.3817145262624893</v>
      </c>
      <c r="G520" s="5">
        <v>0.4</v>
      </c>
      <c r="H520" s="4">
        <v>40000000</v>
      </c>
      <c r="I520" s="4">
        <f t="shared" si="107"/>
        <v>21720870.696000002</v>
      </c>
      <c r="J520" s="3">
        <v>210000000000</v>
      </c>
      <c r="K520" s="4">
        <f t="shared" si="108"/>
        <v>0.10291630386747225</v>
      </c>
      <c r="L520" s="6">
        <f t="shared" si="110"/>
        <v>2.572907596686806</v>
      </c>
      <c r="M520" s="4">
        <f t="shared" si="111"/>
        <v>23166177.789589752</v>
      </c>
      <c r="N520" s="4">
        <f t="shared" si="112"/>
        <v>1125486289.2968535</v>
      </c>
      <c r="O520" s="4">
        <f t="shared" si="113"/>
        <v>53130249082.917778</v>
      </c>
      <c r="P520" s="4">
        <f t="shared" si="114"/>
        <v>-5467968859.1720543</v>
      </c>
      <c r="Q520" s="4">
        <f t="shared" si="117"/>
        <v>100382935.32789445</v>
      </c>
      <c r="R520" s="4">
        <f t="shared" si="117"/>
        <v>4738725303.3330841</v>
      </c>
      <c r="S520" s="4">
        <f t="shared" si="117"/>
        <v>-487692093.26230812</v>
      </c>
      <c r="T520" s="3"/>
      <c r="U520" s="4">
        <f t="shared" si="115"/>
        <v>60818437.948800005</v>
      </c>
      <c r="V520">
        <f t="shared" si="116"/>
        <v>500160050515.12274</v>
      </c>
    </row>
    <row r="521" spans="1:22" x14ac:dyDescent="0.5">
      <c r="A521" s="3">
        <v>60</v>
      </c>
      <c r="B521" s="3">
        <v>0.50051216359999995</v>
      </c>
      <c r="C521" s="3">
        <v>5</v>
      </c>
      <c r="D521" s="3">
        <v>25</v>
      </c>
      <c r="E521" s="3">
        <v>0.05</v>
      </c>
      <c r="F521" s="3">
        <f t="shared" si="109"/>
        <v>2.3817145262624893</v>
      </c>
      <c r="G521" s="5">
        <v>0.4</v>
      </c>
      <c r="H521" s="4">
        <v>40000000</v>
      </c>
      <c r="I521" s="4">
        <f t="shared" si="107"/>
        <v>20020486.544</v>
      </c>
      <c r="J521" s="3">
        <v>210000000000</v>
      </c>
      <c r="K521" s="4">
        <f t="shared" si="108"/>
        <v>0.10291630386747225</v>
      </c>
      <c r="L521" s="6">
        <f t="shared" si="110"/>
        <v>2.572907596686806</v>
      </c>
      <c r="M521" s="4">
        <f t="shared" si="111"/>
        <v>21208090.380146347</v>
      </c>
      <c r="N521" s="4">
        <f t="shared" si="112"/>
        <v>1030356201.261197</v>
      </c>
      <c r="O521" s="4">
        <f t="shared" si="113"/>
        <v>48639492224.589462</v>
      </c>
      <c r="P521" s="4">
        <f t="shared" si="114"/>
        <v>-5005796761.7454033</v>
      </c>
      <c r="Q521" s="4">
        <f t="shared" si="117"/>
        <v>95130088.035656571</v>
      </c>
      <c r="R521" s="4">
        <f t="shared" si="117"/>
        <v>4490756858.3283157</v>
      </c>
      <c r="S521" s="4">
        <f t="shared" si="117"/>
        <v>-462172097.426651</v>
      </c>
      <c r="T521" s="3"/>
      <c r="U521" s="4">
        <f t="shared" si="115"/>
        <v>56057362.323199995</v>
      </c>
      <c r="V521">
        <f t="shared" si="116"/>
        <v>500160050515.12274</v>
      </c>
    </row>
    <row r="522" spans="1:22" x14ac:dyDescent="0.5">
      <c r="A522" s="3">
        <v>60</v>
      </c>
      <c r="B522" s="3">
        <v>0.45723431460000002</v>
      </c>
      <c r="C522" s="3">
        <v>5</v>
      </c>
      <c r="D522" s="3">
        <v>25</v>
      </c>
      <c r="E522" s="3">
        <v>0.05</v>
      </c>
      <c r="F522" s="3">
        <f t="shared" si="109"/>
        <v>2.3817145262624893</v>
      </c>
      <c r="G522" s="5">
        <v>0.4</v>
      </c>
      <c r="H522" s="4">
        <v>40000000</v>
      </c>
      <c r="I522" s="4">
        <f t="shared" si="107"/>
        <v>18289372.584000003</v>
      </c>
      <c r="J522" s="3">
        <v>210000000000</v>
      </c>
      <c r="K522" s="4">
        <f t="shared" si="108"/>
        <v>0.10291630386747225</v>
      </c>
      <c r="L522" s="6">
        <f t="shared" si="110"/>
        <v>2.572907596686806</v>
      </c>
      <c r="M522" s="4">
        <f t="shared" si="111"/>
        <v>19228825.58282366</v>
      </c>
      <c r="N522" s="4">
        <f t="shared" si="112"/>
        <v>934197248.64901257</v>
      </c>
      <c r="O522" s="4">
        <f t="shared" si="113"/>
        <v>44100166288.393784</v>
      </c>
      <c r="P522" s="4">
        <f t="shared" si="114"/>
        <v>-4538626114.3423901</v>
      </c>
      <c r="Q522" s="4">
        <f t="shared" si="117"/>
        <v>96158952.612184405</v>
      </c>
      <c r="R522" s="4">
        <f t="shared" si="117"/>
        <v>4539325936.1956787</v>
      </c>
      <c r="S522" s="4">
        <f t="shared" si="117"/>
        <v>-467170647.40301323</v>
      </c>
      <c r="T522" s="3"/>
      <c r="U522" s="4">
        <f t="shared" si="115"/>
        <v>51210243.235200003</v>
      </c>
      <c r="V522">
        <f t="shared" si="116"/>
        <v>500160050515.12274</v>
      </c>
    </row>
    <row r="523" spans="1:22" x14ac:dyDescent="0.5">
      <c r="A523" s="3">
        <v>60</v>
      </c>
      <c r="B523" s="3">
        <v>0.4148527528</v>
      </c>
      <c r="C523" s="3">
        <v>5</v>
      </c>
      <c r="D523" s="3">
        <v>25</v>
      </c>
      <c r="E523" s="3">
        <v>0.05</v>
      </c>
      <c r="F523" s="3">
        <f t="shared" si="109"/>
        <v>2.3817145262624893</v>
      </c>
      <c r="G523" s="5">
        <v>0.4</v>
      </c>
      <c r="H523" s="4">
        <v>40000000</v>
      </c>
      <c r="I523" s="4">
        <f t="shared" si="107"/>
        <v>16594110.112</v>
      </c>
      <c r="J523" s="3">
        <v>210000000000</v>
      </c>
      <c r="K523" s="4">
        <f t="shared" si="108"/>
        <v>0.10291630386747225</v>
      </c>
      <c r="L523" s="6">
        <f t="shared" si="110"/>
        <v>2.572907596686806</v>
      </c>
      <c r="M523" s="4">
        <f t="shared" si="111"/>
        <v>17305634.104216486</v>
      </c>
      <c r="N523" s="4">
        <f t="shared" si="112"/>
        <v>840762515.4563148</v>
      </c>
      <c r="O523" s="4">
        <f t="shared" si="113"/>
        <v>39689441169.187416</v>
      </c>
      <c r="P523" s="4">
        <f t="shared" si="114"/>
        <v>-4084690587.6982551</v>
      </c>
      <c r="Q523" s="4">
        <f t="shared" si="117"/>
        <v>93434733.192697763</v>
      </c>
      <c r="R523" s="4">
        <f t="shared" si="117"/>
        <v>4410725119.2063675</v>
      </c>
      <c r="S523" s="4">
        <f t="shared" si="117"/>
        <v>-453935526.644135</v>
      </c>
      <c r="T523" s="3"/>
      <c r="U523" s="4">
        <f t="shared" si="115"/>
        <v>46463508.313599996</v>
      </c>
      <c r="V523">
        <f t="shared" si="116"/>
        <v>500160050515.12274</v>
      </c>
    </row>
    <row r="524" spans="1:22" x14ac:dyDescent="0.5">
      <c r="A524" s="3">
        <v>60</v>
      </c>
      <c r="B524" s="3">
        <v>0.36824583900000002</v>
      </c>
      <c r="C524" s="3">
        <v>5</v>
      </c>
      <c r="D524" s="3">
        <v>25</v>
      </c>
      <c r="E524" s="3">
        <v>0.05</v>
      </c>
      <c r="F524" s="3">
        <f t="shared" si="109"/>
        <v>2.3817145262624893</v>
      </c>
      <c r="G524" s="5">
        <v>0.4</v>
      </c>
      <c r="H524" s="4">
        <v>40000000</v>
      </c>
      <c r="I524" s="4">
        <f t="shared" si="107"/>
        <v>14729833.560000001</v>
      </c>
      <c r="J524" s="3">
        <v>210000000000</v>
      </c>
      <c r="K524" s="4">
        <f t="shared" si="108"/>
        <v>0.10291630386747225</v>
      </c>
      <c r="L524" s="6">
        <f t="shared" si="110"/>
        <v>2.572907596686806</v>
      </c>
      <c r="M524" s="4">
        <f t="shared" si="111"/>
        <v>15209620.516095567</v>
      </c>
      <c r="N524" s="4">
        <f t="shared" si="112"/>
        <v>738931536.81856632</v>
      </c>
      <c r="O524" s="4">
        <f t="shared" si="113"/>
        <v>34882358834.349785</v>
      </c>
      <c r="P524" s="4">
        <f t="shared" si="114"/>
        <v>-3589963441.4101477</v>
      </c>
      <c r="Q524" s="4">
        <f t="shared" si="117"/>
        <v>101830978.63774848</v>
      </c>
      <c r="R524" s="4">
        <f t="shared" si="117"/>
        <v>4807082334.8376312</v>
      </c>
      <c r="S524" s="4">
        <f t="shared" si="117"/>
        <v>-494727146.2881074</v>
      </c>
      <c r="T524" s="3"/>
      <c r="U524" s="4">
        <f t="shared" si="115"/>
        <v>41243533.968000002</v>
      </c>
      <c r="V524">
        <f t="shared" si="116"/>
        <v>500160050515.12274</v>
      </c>
    </row>
    <row r="525" spans="1:22" x14ac:dyDescent="0.5">
      <c r="A525" s="3">
        <v>60</v>
      </c>
      <c r="B525" s="3">
        <v>0.32099871940000002</v>
      </c>
      <c r="C525" s="3">
        <v>5</v>
      </c>
      <c r="D525" s="3">
        <v>25</v>
      </c>
      <c r="E525" s="3">
        <v>0.05</v>
      </c>
      <c r="F525" s="3">
        <f t="shared" si="109"/>
        <v>2.3817145262624893</v>
      </c>
      <c r="G525" s="5">
        <v>0.4</v>
      </c>
      <c r="H525" s="4">
        <v>40000000</v>
      </c>
      <c r="I525" s="4">
        <f t="shared" si="107"/>
        <v>12839948.776000001</v>
      </c>
      <c r="J525" s="3">
        <v>210000000000</v>
      </c>
      <c r="K525" s="4">
        <f t="shared" si="108"/>
        <v>0.10291630386747225</v>
      </c>
      <c r="L525" s="6">
        <f t="shared" si="110"/>
        <v>2.572907596686806</v>
      </c>
      <c r="M525" s="4">
        <f t="shared" si="111"/>
        <v>13107331.528279547</v>
      </c>
      <c r="N525" s="4">
        <f t="shared" si="112"/>
        <v>636795679.38808632</v>
      </c>
      <c r="O525" s="4">
        <f t="shared" si="113"/>
        <v>30060884244.04715</v>
      </c>
      <c r="P525" s="4">
        <f t="shared" si="114"/>
        <v>-3093755097.3852654</v>
      </c>
      <c r="Q525" s="4">
        <f t="shared" si="117"/>
        <v>102135857.43048</v>
      </c>
      <c r="R525" s="4">
        <f t="shared" si="117"/>
        <v>4821474590.3026352</v>
      </c>
      <c r="S525" s="4">
        <f t="shared" si="117"/>
        <v>-496208344.02488232</v>
      </c>
      <c r="T525" s="3"/>
      <c r="U525" s="4">
        <f t="shared" si="115"/>
        <v>35951856.572799996</v>
      </c>
      <c r="V525">
        <f t="shared" si="116"/>
        <v>500160050515.12274</v>
      </c>
    </row>
    <row r="526" spans="1:22" x14ac:dyDescent="0.5">
      <c r="A526" s="3">
        <v>60</v>
      </c>
      <c r="B526" s="3">
        <v>0.27669654300000002</v>
      </c>
      <c r="C526" s="3">
        <v>5</v>
      </c>
      <c r="D526" s="3">
        <v>25</v>
      </c>
      <c r="E526" s="3">
        <v>0.05</v>
      </c>
      <c r="F526" s="3">
        <f t="shared" si="109"/>
        <v>2.3817145262624893</v>
      </c>
      <c r="G526" s="5">
        <v>0.4</v>
      </c>
      <c r="H526" s="4">
        <v>40000000</v>
      </c>
      <c r="I526" s="4">
        <f t="shared" si="107"/>
        <v>11067861.720000001</v>
      </c>
      <c r="J526" s="3">
        <v>210000000000</v>
      </c>
      <c r="K526" s="4">
        <f t="shared" si="108"/>
        <v>0.10291630386747225</v>
      </c>
      <c r="L526" s="6">
        <f t="shared" si="110"/>
        <v>2.572907596686806</v>
      </c>
      <c r="M526" s="4">
        <f t="shared" si="111"/>
        <v>11159371.96583065</v>
      </c>
      <c r="N526" s="4">
        <f t="shared" si="112"/>
        <v>542157634.23649752</v>
      </c>
      <c r="O526" s="4">
        <f t="shared" si="113"/>
        <v>25593354999.629913</v>
      </c>
      <c r="P526" s="4">
        <f t="shared" si="114"/>
        <v>-2633973500.130002</v>
      </c>
      <c r="Q526" s="4">
        <f t="shared" si="117"/>
        <v>94638045.151588798</v>
      </c>
      <c r="R526" s="4">
        <f t="shared" si="117"/>
        <v>4467529244.4172363</v>
      </c>
      <c r="S526" s="4">
        <f t="shared" si="117"/>
        <v>-459781597.25526333</v>
      </c>
      <c r="T526" s="3"/>
      <c r="U526" s="4">
        <f t="shared" si="115"/>
        <v>30990012.816</v>
      </c>
      <c r="V526">
        <f t="shared" si="116"/>
        <v>500160050515.12274</v>
      </c>
    </row>
    <row r="527" spans="1:22" x14ac:dyDescent="0.5">
      <c r="A527" s="3">
        <v>60</v>
      </c>
      <c r="B527" s="3">
        <v>0.22535211259999999</v>
      </c>
      <c r="C527" s="3">
        <v>5</v>
      </c>
      <c r="D527" s="3">
        <v>25</v>
      </c>
      <c r="E527" s="3">
        <v>0.05</v>
      </c>
      <c r="F527" s="3">
        <f t="shared" si="109"/>
        <v>2.3817145262624893</v>
      </c>
      <c r="G527" s="5">
        <v>0.4</v>
      </c>
      <c r="H527" s="4">
        <v>40000000</v>
      </c>
      <c r="I527" s="4">
        <f t="shared" si="107"/>
        <v>9014084.5039999988</v>
      </c>
      <c r="J527" s="3">
        <v>210000000000</v>
      </c>
      <c r="K527" s="4">
        <f t="shared" si="108"/>
        <v>0.10291630386747225</v>
      </c>
      <c r="L527" s="6">
        <f t="shared" si="110"/>
        <v>2.572907596686806</v>
      </c>
      <c r="M527" s="4">
        <f t="shared" si="111"/>
        <v>8934477.2254575193</v>
      </c>
      <c r="N527" s="4">
        <f t="shared" si="112"/>
        <v>434065201.02794677</v>
      </c>
      <c r="O527" s="4">
        <f t="shared" si="113"/>
        <v>20490691417.706692</v>
      </c>
      <c r="P527" s="4">
        <f t="shared" si="114"/>
        <v>-2108826224.3993077</v>
      </c>
      <c r="Q527" s="4">
        <f t="shared" si="117"/>
        <v>108092433.20855075</v>
      </c>
      <c r="R527" s="4">
        <f t="shared" si="117"/>
        <v>5102663581.9232216</v>
      </c>
      <c r="S527" s="4">
        <f t="shared" si="117"/>
        <v>-525147275.73069429</v>
      </c>
      <c r="T527" s="3"/>
      <c r="U527" s="4">
        <f t="shared" si="115"/>
        <v>25239436.611199994</v>
      </c>
      <c r="V527">
        <f t="shared" si="116"/>
        <v>500160050515.12274</v>
      </c>
    </row>
    <row r="528" spans="1:22" x14ac:dyDescent="0.5">
      <c r="A528" s="3">
        <v>60</v>
      </c>
      <c r="B528" s="3">
        <v>0.18617157500000001</v>
      </c>
      <c r="C528" s="3">
        <v>5</v>
      </c>
      <c r="D528" s="3">
        <v>25</v>
      </c>
      <c r="E528" s="3">
        <v>0.05</v>
      </c>
      <c r="F528" s="3">
        <f t="shared" si="109"/>
        <v>2.3817145262624893</v>
      </c>
      <c r="G528" s="5">
        <v>0.4</v>
      </c>
      <c r="H528" s="4">
        <v>40000000</v>
      </c>
      <c r="I528" s="4">
        <f t="shared" si="107"/>
        <v>7446863</v>
      </c>
      <c r="J528" s="3">
        <v>210000000000</v>
      </c>
      <c r="K528" s="4">
        <f t="shared" si="108"/>
        <v>0.10291630386747225</v>
      </c>
      <c r="L528" s="6">
        <f t="shared" si="110"/>
        <v>2.572907596686806</v>
      </c>
      <c r="M528" s="4">
        <f t="shared" si="111"/>
        <v>7264546.8700176664</v>
      </c>
      <c r="N528" s="4">
        <f t="shared" si="112"/>
        <v>352934695.3312856</v>
      </c>
      <c r="O528" s="4">
        <f t="shared" si="113"/>
        <v>16660805601.345787</v>
      </c>
      <c r="P528" s="4">
        <f t="shared" si="114"/>
        <v>-1714668531.9449868</v>
      </c>
      <c r="Q528" s="4">
        <f t="shared" si="117"/>
        <v>81130505.696661174</v>
      </c>
      <c r="R528" s="4">
        <f t="shared" si="117"/>
        <v>3829885816.3609047</v>
      </c>
      <c r="S528" s="4">
        <f t="shared" si="117"/>
        <v>-394157692.45432091</v>
      </c>
      <c r="T528" s="3"/>
      <c r="U528" s="4">
        <f t="shared" si="115"/>
        <v>20851216.399999999</v>
      </c>
      <c r="V528">
        <f t="shared" si="116"/>
        <v>500160050515.12274</v>
      </c>
    </row>
    <row r="529" spans="1:22" x14ac:dyDescent="0.5">
      <c r="A529" s="3">
        <v>60</v>
      </c>
      <c r="B529" s="3">
        <v>0.1527528806</v>
      </c>
      <c r="C529" s="3">
        <v>5</v>
      </c>
      <c r="D529" s="3">
        <v>25</v>
      </c>
      <c r="E529" s="3">
        <v>0.05</v>
      </c>
      <c r="F529" s="3">
        <f t="shared" si="109"/>
        <v>2.3817145262624893</v>
      </c>
      <c r="G529" s="5">
        <v>0.4</v>
      </c>
      <c r="H529" s="4">
        <v>40000000</v>
      </c>
      <c r="I529" s="4">
        <f t="shared" si="107"/>
        <v>6110115.2240000004</v>
      </c>
      <c r="J529" s="3">
        <v>210000000000</v>
      </c>
      <c r="K529" s="4">
        <f t="shared" si="108"/>
        <v>0.10291630386747225</v>
      </c>
      <c r="L529" s="6">
        <f t="shared" si="110"/>
        <v>2.572907596686806</v>
      </c>
      <c r="M529" s="4">
        <f t="shared" si="111"/>
        <v>5863058.6124048876</v>
      </c>
      <c r="N529" s="4">
        <f t="shared" si="112"/>
        <v>284845956.96105093</v>
      </c>
      <c r="O529" s="4">
        <f t="shared" si="113"/>
        <v>13446575749.099195</v>
      </c>
      <c r="P529" s="4">
        <f t="shared" si="114"/>
        <v>-1383871875.771276</v>
      </c>
      <c r="Q529" s="4">
        <f t="shared" si="117"/>
        <v>68088738.370234668</v>
      </c>
      <c r="R529" s="4">
        <f t="shared" si="117"/>
        <v>3214229852.2465916</v>
      </c>
      <c r="S529" s="4">
        <f t="shared" si="117"/>
        <v>-330796656.17371082</v>
      </c>
      <c r="T529" s="3"/>
      <c r="U529" s="4">
        <f t="shared" si="115"/>
        <v>17108322.6272</v>
      </c>
      <c r="V529">
        <f t="shared" si="116"/>
        <v>500160050515.12274</v>
      </c>
    </row>
    <row r="530" spans="1:22" x14ac:dyDescent="0.5">
      <c r="A530" s="3">
        <v>80</v>
      </c>
      <c r="B530" s="3">
        <v>1</v>
      </c>
      <c r="C530" s="3">
        <v>5</v>
      </c>
      <c r="D530" s="3">
        <v>30</v>
      </c>
      <c r="E530" s="3">
        <v>5.5E-2</v>
      </c>
      <c r="F530" s="3">
        <f t="shared" si="109"/>
        <v>2.6120115584149359</v>
      </c>
      <c r="G530" s="5">
        <v>0.3</v>
      </c>
      <c r="H530" s="4">
        <v>15000000</v>
      </c>
      <c r="I530" s="4">
        <f>B530*$H$530</f>
        <v>15000000</v>
      </c>
      <c r="J530" s="3">
        <v>210000000000</v>
      </c>
      <c r="K530" s="4">
        <f>(($M$530*C530)/(4*J530*F530))^(1/4)</f>
        <v>7.2466501085348189E-2</v>
      </c>
      <c r="L530" s="6">
        <f t="shared" si="110"/>
        <v>2.1739950325604456</v>
      </c>
      <c r="M530" s="4">
        <f t="shared" si="111"/>
        <v>12101342.336181734</v>
      </c>
      <c r="N530" s="4">
        <f t="shared" si="112"/>
        <v>1815201350.4272599</v>
      </c>
      <c r="O530" s="4">
        <f t="shared" si="113"/>
        <v>544560405128.17798</v>
      </c>
      <c r="P530" s="4">
        <f t="shared" si="114"/>
        <v>-27228020256.408897</v>
      </c>
      <c r="Q530" s="4">
        <f>N530</f>
        <v>1815201350.4272599</v>
      </c>
      <c r="R530" s="4">
        <f t="shared" ref="R530:S530" si="118">O530</f>
        <v>544560405128.17798</v>
      </c>
      <c r="S530" s="4">
        <f t="shared" si="118"/>
        <v>-27228020256.408897</v>
      </c>
      <c r="T530" s="3"/>
      <c r="U530" s="4">
        <f t="shared" si="115"/>
        <v>39000000</v>
      </c>
      <c r="V530">
        <f t="shared" si="116"/>
        <v>548522427267.13654</v>
      </c>
    </row>
    <row r="531" spans="1:22" x14ac:dyDescent="0.5">
      <c r="A531" s="3">
        <v>80</v>
      </c>
      <c r="B531" s="3">
        <v>1</v>
      </c>
      <c r="C531" s="3">
        <v>5</v>
      </c>
      <c r="D531" s="3">
        <v>30</v>
      </c>
      <c r="E531" s="3">
        <v>5.5E-2</v>
      </c>
      <c r="F531" s="3">
        <f t="shared" si="109"/>
        <v>2.6120115584149359</v>
      </c>
      <c r="G531" s="5">
        <v>0.3</v>
      </c>
      <c r="H531" s="4">
        <v>15000000</v>
      </c>
      <c r="I531" s="4">
        <f t="shared" ref="I531:I573" si="119">B531*$H$530</f>
        <v>15000000</v>
      </c>
      <c r="J531" s="3">
        <v>210000000000</v>
      </c>
      <c r="K531" s="4">
        <f t="shared" ref="K531:K573" si="120">(($M$530*C531)/(4*J531*F531))^(1/4)</f>
        <v>7.2466501085348189E-2</v>
      </c>
      <c r="L531" s="6">
        <f t="shared" si="110"/>
        <v>2.1739950325604456</v>
      </c>
      <c r="M531" s="4">
        <f t="shared" si="111"/>
        <v>12101342.336181734</v>
      </c>
      <c r="N531" s="4">
        <f t="shared" si="112"/>
        <v>1815201350.4272599</v>
      </c>
      <c r="O531" s="4">
        <f t="shared" si="113"/>
        <v>544560405128.17798</v>
      </c>
      <c r="P531" s="4">
        <f t="shared" si="114"/>
        <v>-27228020256.408897</v>
      </c>
      <c r="Q531" s="4">
        <f t="shared" si="117"/>
        <v>0</v>
      </c>
      <c r="R531" s="4">
        <f t="shared" si="117"/>
        <v>0</v>
      </c>
      <c r="S531" s="4">
        <f t="shared" si="117"/>
        <v>0</v>
      </c>
      <c r="T531" s="3"/>
      <c r="U531" s="4">
        <f t="shared" si="115"/>
        <v>39000000</v>
      </c>
      <c r="V531">
        <f t="shared" si="116"/>
        <v>548522427267.13654</v>
      </c>
    </row>
    <row r="532" spans="1:22" x14ac:dyDescent="0.5">
      <c r="A532" s="3">
        <v>80</v>
      </c>
      <c r="B532" s="3">
        <v>1</v>
      </c>
      <c r="C532" s="3">
        <v>5</v>
      </c>
      <c r="D532" s="3">
        <v>30</v>
      </c>
      <c r="E532" s="3">
        <v>5.5E-2</v>
      </c>
      <c r="F532" s="3">
        <f t="shared" si="109"/>
        <v>2.6120115584149359</v>
      </c>
      <c r="G532" s="5">
        <v>0.3</v>
      </c>
      <c r="H532" s="4">
        <v>15000000</v>
      </c>
      <c r="I532" s="4">
        <f t="shared" si="119"/>
        <v>15000000</v>
      </c>
      <c r="J532" s="3">
        <v>210000000000</v>
      </c>
      <c r="K532" s="4">
        <f t="shared" si="120"/>
        <v>7.2466501085348189E-2</v>
      </c>
      <c r="L532" s="6">
        <f t="shared" si="110"/>
        <v>2.1739950325604456</v>
      </c>
      <c r="M532" s="4">
        <f t="shared" si="111"/>
        <v>12101342.336181734</v>
      </c>
      <c r="N532" s="4">
        <f t="shared" si="112"/>
        <v>1815201350.4272599</v>
      </c>
      <c r="O532" s="4">
        <f t="shared" si="113"/>
        <v>544560405128.17798</v>
      </c>
      <c r="P532" s="4">
        <f t="shared" si="114"/>
        <v>-27228020256.408897</v>
      </c>
      <c r="Q532" s="4">
        <f t="shared" si="117"/>
        <v>0</v>
      </c>
      <c r="R532" s="4">
        <f t="shared" si="117"/>
        <v>0</v>
      </c>
      <c r="S532" s="4">
        <f t="shared" si="117"/>
        <v>0</v>
      </c>
      <c r="T532" s="3"/>
      <c r="U532" s="4">
        <f t="shared" si="115"/>
        <v>39000000</v>
      </c>
      <c r="V532">
        <f t="shared" si="116"/>
        <v>548522427267.13654</v>
      </c>
    </row>
    <row r="533" spans="1:22" x14ac:dyDescent="0.5">
      <c r="A533" s="3">
        <v>80</v>
      </c>
      <c r="B533" s="3">
        <v>1</v>
      </c>
      <c r="C533" s="3">
        <v>5</v>
      </c>
      <c r="D533" s="3">
        <v>30</v>
      </c>
      <c r="E533" s="3">
        <v>5.5E-2</v>
      </c>
      <c r="F533" s="3">
        <f t="shared" si="109"/>
        <v>2.6120115584149359</v>
      </c>
      <c r="G533" s="5">
        <v>0.3</v>
      </c>
      <c r="H533" s="4">
        <v>15000000</v>
      </c>
      <c r="I533" s="4">
        <f t="shared" si="119"/>
        <v>15000000</v>
      </c>
      <c r="J533" s="3">
        <v>210000000000</v>
      </c>
      <c r="K533" s="4">
        <f t="shared" si="120"/>
        <v>7.2466501085348189E-2</v>
      </c>
      <c r="L533" s="6">
        <f t="shared" si="110"/>
        <v>2.1739950325604456</v>
      </c>
      <c r="M533" s="4">
        <f t="shared" si="111"/>
        <v>12101342.336181734</v>
      </c>
      <c r="N533" s="4">
        <f t="shared" si="112"/>
        <v>1815201350.4272599</v>
      </c>
      <c r="O533" s="4">
        <f t="shared" si="113"/>
        <v>544560405128.17798</v>
      </c>
      <c r="P533" s="4">
        <f t="shared" si="114"/>
        <v>-27228020256.408897</v>
      </c>
      <c r="Q533" s="4">
        <f t="shared" si="117"/>
        <v>0</v>
      </c>
      <c r="R533" s="4">
        <f t="shared" si="117"/>
        <v>0</v>
      </c>
      <c r="S533" s="4">
        <f t="shared" si="117"/>
        <v>0</v>
      </c>
      <c r="T533" s="3"/>
      <c r="U533" s="4">
        <f t="shared" si="115"/>
        <v>39000000</v>
      </c>
      <c r="V533">
        <f t="shared" si="116"/>
        <v>548522427267.13654</v>
      </c>
    </row>
    <row r="534" spans="1:22" x14ac:dyDescent="0.5">
      <c r="A534" s="3">
        <v>80</v>
      </c>
      <c r="B534" s="3">
        <v>1</v>
      </c>
      <c r="C534" s="3">
        <v>5</v>
      </c>
      <c r="D534" s="3">
        <v>30</v>
      </c>
      <c r="E534" s="3">
        <v>5.5E-2</v>
      </c>
      <c r="F534" s="3">
        <f t="shared" si="109"/>
        <v>2.6120115584149359</v>
      </c>
      <c r="G534" s="5">
        <v>0.3</v>
      </c>
      <c r="H534" s="4">
        <v>15000000</v>
      </c>
      <c r="I534" s="4">
        <f t="shared" si="119"/>
        <v>15000000</v>
      </c>
      <c r="J534" s="3">
        <v>210000000000</v>
      </c>
      <c r="K534" s="4">
        <f t="shared" si="120"/>
        <v>7.2466501085348189E-2</v>
      </c>
      <c r="L534" s="6">
        <f t="shared" si="110"/>
        <v>2.1739950325604456</v>
      </c>
      <c r="M534" s="4">
        <f t="shared" si="111"/>
        <v>12101342.336181734</v>
      </c>
      <c r="N534" s="4">
        <f t="shared" si="112"/>
        <v>1815201350.4272599</v>
      </c>
      <c r="O534" s="4">
        <f t="shared" si="113"/>
        <v>544560405128.17798</v>
      </c>
      <c r="P534" s="4">
        <f t="shared" si="114"/>
        <v>-27228020256.408897</v>
      </c>
      <c r="Q534" s="4">
        <f t="shared" si="117"/>
        <v>0</v>
      </c>
      <c r="R534" s="4">
        <f t="shared" si="117"/>
        <v>0</v>
      </c>
      <c r="S534" s="4">
        <f t="shared" si="117"/>
        <v>0</v>
      </c>
      <c r="T534" s="3"/>
      <c r="U534" s="4">
        <f t="shared" si="115"/>
        <v>39000000</v>
      </c>
      <c r="V534">
        <f t="shared" si="116"/>
        <v>548522427267.13654</v>
      </c>
    </row>
    <row r="535" spans="1:22" x14ac:dyDescent="0.5">
      <c r="A535" s="3">
        <v>80</v>
      </c>
      <c r="B535" s="3">
        <v>1</v>
      </c>
      <c r="C535" s="3">
        <v>5</v>
      </c>
      <c r="D535" s="3">
        <v>30</v>
      </c>
      <c r="E535" s="3">
        <v>5.5E-2</v>
      </c>
      <c r="F535" s="3">
        <f t="shared" si="109"/>
        <v>2.6120115584149359</v>
      </c>
      <c r="G535" s="5">
        <v>0.3</v>
      </c>
      <c r="H535" s="4">
        <v>15000000</v>
      </c>
      <c r="I535" s="4">
        <f t="shared" si="119"/>
        <v>15000000</v>
      </c>
      <c r="J535" s="3">
        <v>210000000000</v>
      </c>
      <c r="K535" s="4">
        <f t="shared" si="120"/>
        <v>7.2466501085348189E-2</v>
      </c>
      <c r="L535" s="6">
        <f t="shared" si="110"/>
        <v>2.1739950325604456</v>
      </c>
      <c r="M535" s="4">
        <f t="shared" si="111"/>
        <v>12101342.336181734</v>
      </c>
      <c r="N535" s="4">
        <f t="shared" si="112"/>
        <v>1815201350.4272599</v>
      </c>
      <c r="O535" s="4">
        <f t="shared" si="113"/>
        <v>544560405128.17798</v>
      </c>
      <c r="P535" s="4">
        <f t="shared" si="114"/>
        <v>-27228020256.408897</v>
      </c>
      <c r="Q535" s="4">
        <f t="shared" si="117"/>
        <v>0</v>
      </c>
      <c r="R535" s="4">
        <f t="shared" si="117"/>
        <v>0</v>
      </c>
      <c r="S535" s="4">
        <f t="shared" si="117"/>
        <v>0</v>
      </c>
      <c r="T535" s="3"/>
      <c r="U535" s="4">
        <f t="shared" si="115"/>
        <v>39000000</v>
      </c>
      <c r="V535">
        <f t="shared" si="116"/>
        <v>548522427267.13654</v>
      </c>
    </row>
    <row r="536" spans="1:22" x14ac:dyDescent="0.5">
      <c r="A536" s="3">
        <v>80</v>
      </c>
      <c r="B536" s="3">
        <v>1</v>
      </c>
      <c r="C536" s="3">
        <v>5</v>
      </c>
      <c r="D536" s="3">
        <v>30</v>
      </c>
      <c r="E536" s="3">
        <v>5.5E-2</v>
      </c>
      <c r="F536" s="3">
        <f t="shared" si="109"/>
        <v>2.6120115584149359</v>
      </c>
      <c r="G536" s="5">
        <v>0.3</v>
      </c>
      <c r="H536" s="4">
        <v>15000000</v>
      </c>
      <c r="I536" s="4">
        <f t="shared" si="119"/>
        <v>15000000</v>
      </c>
      <c r="J536" s="3">
        <v>210000000000</v>
      </c>
      <c r="K536" s="4">
        <f t="shared" si="120"/>
        <v>7.2466501085348189E-2</v>
      </c>
      <c r="L536" s="6">
        <f t="shared" si="110"/>
        <v>2.1739950325604456</v>
      </c>
      <c r="M536" s="4">
        <f t="shared" si="111"/>
        <v>12101342.336181734</v>
      </c>
      <c r="N536" s="4">
        <f t="shared" si="112"/>
        <v>1815201350.4272599</v>
      </c>
      <c r="O536" s="4">
        <f t="shared" si="113"/>
        <v>544560405128.17798</v>
      </c>
      <c r="P536" s="4">
        <f t="shared" si="114"/>
        <v>-27228020256.408897</v>
      </c>
      <c r="Q536" s="4">
        <f t="shared" si="117"/>
        <v>0</v>
      </c>
      <c r="R536" s="4">
        <f t="shared" si="117"/>
        <v>0</v>
      </c>
      <c r="S536" s="4">
        <f t="shared" si="117"/>
        <v>0</v>
      </c>
      <c r="T536" s="3"/>
      <c r="U536" s="4">
        <f t="shared" si="115"/>
        <v>39000000</v>
      </c>
      <c r="V536">
        <f t="shared" si="116"/>
        <v>548522427267.13654</v>
      </c>
    </row>
    <row r="537" spans="1:22" x14ac:dyDescent="0.5">
      <c r="A537" s="3">
        <v>80</v>
      </c>
      <c r="B537" s="3">
        <v>1</v>
      </c>
      <c r="C537" s="3">
        <v>5</v>
      </c>
      <c r="D537" s="3">
        <v>30</v>
      </c>
      <c r="E537" s="3">
        <v>5.5E-2</v>
      </c>
      <c r="F537" s="3">
        <f t="shared" si="109"/>
        <v>2.6120115584149359</v>
      </c>
      <c r="G537" s="5">
        <v>0.3</v>
      </c>
      <c r="H537" s="4">
        <v>15000000</v>
      </c>
      <c r="I537" s="4">
        <f t="shared" si="119"/>
        <v>15000000</v>
      </c>
      <c r="J537" s="3">
        <v>210000000000</v>
      </c>
      <c r="K537" s="4">
        <f t="shared" si="120"/>
        <v>7.2466501085348189E-2</v>
      </c>
      <c r="L537" s="6">
        <f t="shared" si="110"/>
        <v>2.1739950325604456</v>
      </c>
      <c r="M537" s="4">
        <f t="shared" si="111"/>
        <v>12101342.336181734</v>
      </c>
      <c r="N537" s="4">
        <f t="shared" si="112"/>
        <v>1815201350.4272599</v>
      </c>
      <c r="O537" s="4">
        <f t="shared" si="113"/>
        <v>544560405128.17798</v>
      </c>
      <c r="P537" s="4">
        <f t="shared" si="114"/>
        <v>-27228020256.408897</v>
      </c>
      <c r="Q537" s="4">
        <f t="shared" si="117"/>
        <v>0</v>
      </c>
      <c r="R537" s="4">
        <f t="shared" si="117"/>
        <v>0</v>
      </c>
      <c r="S537" s="4">
        <f t="shared" si="117"/>
        <v>0</v>
      </c>
      <c r="T537" s="3"/>
      <c r="U537" s="4">
        <f t="shared" si="115"/>
        <v>39000000</v>
      </c>
      <c r="V537">
        <f t="shared" si="116"/>
        <v>548522427267.13654</v>
      </c>
    </row>
    <row r="538" spans="1:22" x14ac:dyDescent="0.5">
      <c r="A538" s="3">
        <v>80</v>
      </c>
      <c r="B538" s="3">
        <v>1</v>
      </c>
      <c r="C538" s="3">
        <v>5</v>
      </c>
      <c r="D538" s="3">
        <v>30</v>
      </c>
      <c r="E538" s="3">
        <v>5.5E-2</v>
      </c>
      <c r="F538" s="3">
        <f t="shared" si="109"/>
        <v>2.6120115584149359</v>
      </c>
      <c r="G538" s="5">
        <v>0.3</v>
      </c>
      <c r="H538" s="4">
        <v>15000000</v>
      </c>
      <c r="I538" s="4">
        <f t="shared" si="119"/>
        <v>15000000</v>
      </c>
      <c r="J538" s="3">
        <v>210000000000</v>
      </c>
      <c r="K538" s="4">
        <f t="shared" si="120"/>
        <v>7.2466501085348189E-2</v>
      </c>
      <c r="L538" s="6">
        <f t="shared" si="110"/>
        <v>2.1739950325604456</v>
      </c>
      <c r="M538" s="4">
        <f t="shared" si="111"/>
        <v>12101342.336181734</v>
      </c>
      <c r="N538" s="4">
        <f t="shared" si="112"/>
        <v>1815201350.4272599</v>
      </c>
      <c r="O538" s="4">
        <f t="shared" si="113"/>
        <v>544560405128.17798</v>
      </c>
      <c r="P538" s="4">
        <f t="shared" si="114"/>
        <v>-27228020256.408897</v>
      </c>
      <c r="Q538" s="4">
        <f t="shared" si="117"/>
        <v>0</v>
      </c>
      <c r="R538" s="4">
        <f t="shared" si="117"/>
        <v>0</v>
      </c>
      <c r="S538" s="4">
        <f t="shared" si="117"/>
        <v>0</v>
      </c>
      <c r="T538" s="3"/>
      <c r="U538" s="4">
        <f t="shared" si="115"/>
        <v>39000000</v>
      </c>
      <c r="V538">
        <f t="shared" si="116"/>
        <v>548522427267.13654</v>
      </c>
    </row>
    <row r="539" spans="1:22" x14ac:dyDescent="0.5">
      <c r="A539" s="3">
        <v>80</v>
      </c>
      <c r="B539" s="3">
        <v>1</v>
      </c>
      <c r="C539" s="3">
        <v>5</v>
      </c>
      <c r="D539" s="3">
        <v>30</v>
      </c>
      <c r="E539" s="3">
        <v>5.5E-2</v>
      </c>
      <c r="F539" s="3">
        <f t="shared" si="109"/>
        <v>2.6120115584149359</v>
      </c>
      <c r="G539" s="5">
        <v>0.3</v>
      </c>
      <c r="H539" s="4">
        <v>15000000</v>
      </c>
      <c r="I539" s="4">
        <f t="shared" si="119"/>
        <v>15000000</v>
      </c>
      <c r="J539" s="3">
        <v>210000000000</v>
      </c>
      <c r="K539" s="4">
        <f t="shared" si="120"/>
        <v>7.2466501085348189E-2</v>
      </c>
      <c r="L539" s="6">
        <f t="shared" si="110"/>
        <v>2.1739950325604456</v>
      </c>
      <c r="M539" s="4">
        <f t="shared" si="111"/>
        <v>12101342.336181734</v>
      </c>
      <c r="N539" s="4">
        <f t="shared" si="112"/>
        <v>1815201350.4272599</v>
      </c>
      <c r="O539" s="4">
        <f t="shared" si="113"/>
        <v>544560405128.17798</v>
      </c>
      <c r="P539" s="4">
        <f t="shared" si="114"/>
        <v>-27228020256.408897</v>
      </c>
      <c r="Q539" s="4">
        <f t="shared" si="117"/>
        <v>0</v>
      </c>
      <c r="R539" s="4">
        <f t="shared" si="117"/>
        <v>0</v>
      </c>
      <c r="S539" s="4">
        <f t="shared" si="117"/>
        <v>0</v>
      </c>
      <c r="T539" s="3"/>
      <c r="U539" s="4">
        <f t="shared" si="115"/>
        <v>39000000</v>
      </c>
      <c r="V539">
        <f t="shared" si="116"/>
        <v>548522427267.13654</v>
      </c>
    </row>
    <row r="540" spans="1:22" x14ac:dyDescent="0.5">
      <c r="A540" s="3">
        <v>80</v>
      </c>
      <c r="B540" s="3">
        <v>1</v>
      </c>
      <c r="C540" s="3">
        <v>5</v>
      </c>
      <c r="D540" s="3">
        <v>30</v>
      </c>
      <c r="E540" s="3">
        <v>5.5E-2</v>
      </c>
      <c r="F540" s="3">
        <f t="shared" si="109"/>
        <v>2.6120115584149359</v>
      </c>
      <c r="G540" s="5">
        <v>0.3</v>
      </c>
      <c r="H540" s="4">
        <v>15000000</v>
      </c>
      <c r="I540" s="4">
        <f t="shared" si="119"/>
        <v>15000000</v>
      </c>
      <c r="J540" s="3">
        <v>210000000000</v>
      </c>
      <c r="K540" s="4">
        <f t="shared" si="120"/>
        <v>7.2466501085348189E-2</v>
      </c>
      <c r="L540" s="6">
        <f t="shared" si="110"/>
        <v>2.1739950325604456</v>
      </c>
      <c r="M540" s="4">
        <f t="shared" si="111"/>
        <v>12101342.336181734</v>
      </c>
      <c r="N540" s="4">
        <f t="shared" si="112"/>
        <v>1815201350.4272599</v>
      </c>
      <c r="O540" s="4">
        <f t="shared" si="113"/>
        <v>544560405128.17798</v>
      </c>
      <c r="P540" s="4">
        <f t="shared" si="114"/>
        <v>-27228020256.408897</v>
      </c>
      <c r="Q540" s="4">
        <f t="shared" si="117"/>
        <v>0</v>
      </c>
      <c r="R540" s="4">
        <f t="shared" si="117"/>
        <v>0</v>
      </c>
      <c r="S540" s="4">
        <f t="shared" si="117"/>
        <v>0</v>
      </c>
      <c r="T540" s="3"/>
      <c r="U540" s="4">
        <f t="shared" si="115"/>
        <v>39000000</v>
      </c>
      <c r="V540">
        <f t="shared" si="116"/>
        <v>548522427267.13654</v>
      </c>
    </row>
    <row r="541" spans="1:22" x14ac:dyDescent="0.5">
      <c r="A541" s="3">
        <v>80</v>
      </c>
      <c r="B541" s="3">
        <v>1</v>
      </c>
      <c r="C541" s="3">
        <v>5</v>
      </c>
      <c r="D541" s="3">
        <v>30</v>
      </c>
      <c r="E541" s="3">
        <v>5.5E-2</v>
      </c>
      <c r="F541" s="3">
        <f t="shared" si="109"/>
        <v>2.6120115584149359</v>
      </c>
      <c r="G541" s="5">
        <v>0.3</v>
      </c>
      <c r="H541" s="4">
        <v>15000000</v>
      </c>
      <c r="I541" s="4">
        <f t="shared" si="119"/>
        <v>15000000</v>
      </c>
      <c r="J541" s="3">
        <v>210000000000</v>
      </c>
      <c r="K541" s="4">
        <f t="shared" si="120"/>
        <v>7.2466501085348189E-2</v>
      </c>
      <c r="L541" s="6">
        <f t="shared" si="110"/>
        <v>2.1739950325604456</v>
      </c>
      <c r="M541" s="4">
        <f t="shared" si="111"/>
        <v>12101342.336181734</v>
      </c>
      <c r="N541" s="4">
        <f t="shared" si="112"/>
        <v>1815201350.4272599</v>
      </c>
      <c r="O541" s="4">
        <f t="shared" si="113"/>
        <v>544560405128.17798</v>
      </c>
      <c r="P541" s="4">
        <f t="shared" si="114"/>
        <v>-27228020256.408897</v>
      </c>
      <c r="Q541" s="4">
        <f t="shared" si="117"/>
        <v>0</v>
      </c>
      <c r="R541" s="4">
        <f t="shared" si="117"/>
        <v>0</v>
      </c>
      <c r="S541" s="4">
        <f t="shared" si="117"/>
        <v>0</v>
      </c>
      <c r="T541" s="3"/>
      <c r="U541" s="4">
        <f t="shared" si="115"/>
        <v>39000000</v>
      </c>
      <c r="V541">
        <f t="shared" si="116"/>
        <v>548522427267.13654</v>
      </c>
    </row>
    <row r="542" spans="1:22" x14ac:dyDescent="0.5">
      <c r="A542" s="3">
        <v>80</v>
      </c>
      <c r="B542" s="3">
        <v>1</v>
      </c>
      <c r="C542" s="3">
        <v>5</v>
      </c>
      <c r="D542" s="3">
        <v>30</v>
      </c>
      <c r="E542" s="3">
        <v>5.5E-2</v>
      </c>
      <c r="F542" s="3">
        <f t="shared" si="109"/>
        <v>2.6120115584149359</v>
      </c>
      <c r="G542" s="5">
        <v>0.3</v>
      </c>
      <c r="H542" s="4">
        <v>15000000</v>
      </c>
      <c r="I542" s="4">
        <f t="shared" si="119"/>
        <v>15000000</v>
      </c>
      <c r="J542" s="3">
        <v>210000000000</v>
      </c>
      <c r="K542" s="4">
        <f t="shared" si="120"/>
        <v>7.2466501085348189E-2</v>
      </c>
      <c r="L542" s="6">
        <f t="shared" si="110"/>
        <v>2.1739950325604456</v>
      </c>
      <c r="M542" s="4">
        <f t="shared" si="111"/>
        <v>12101342.336181734</v>
      </c>
      <c r="N542" s="4">
        <f t="shared" si="112"/>
        <v>1815201350.4272599</v>
      </c>
      <c r="O542" s="4">
        <f t="shared" si="113"/>
        <v>544560405128.17798</v>
      </c>
      <c r="P542" s="4">
        <f t="shared" si="114"/>
        <v>-27228020256.408897</v>
      </c>
      <c r="Q542" s="4">
        <f t="shared" si="117"/>
        <v>0</v>
      </c>
      <c r="R542" s="4">
        <f t="shared" si="117"/>
        <v>0</v>
      </c>
      <c r="S542" s="4">
        <f t="shared" si="117"/>
        <v>0</v>
      </c>
      <c r="T542" s="3"/>
      <c r="U542" s="4">
        <f t="shared" si="115"/>
        <v>39000000</v>
      </c>
      <c r="V542">
        <f t="shared" si="116"/>
        <v>548522427267.13654</v>
      </c>
    </row>
    <row r="543" spans="1:22" x14ac:dyDescent="0.5">
      <c r="A543" s="3">
        <v>80</v>
      </c>
      <c r="B543" s="3">
        <v>1</v>
      </c>
      <c r="C543" s="3">
        <v>5</v>
      </c>
      <c r="D543" s="3">
        <v>30</v>
      </c>
      <c r="E543" s="3">
        <v>5.5E-2</v>
      </c>
      <c r="F543" s="3">
        <f t="shared" si="109"/>
        <v>2.6120115584149359</v>
      </c>
      <c r="G543" s="5">
        <v>0.3</v>
      </c>
      <c r="H543" s="4">
        <v>15000000</v>
      </c>
      <c r="I543" s="4">
        <f t="shared" si="119"/>
        <v>15000000</v>
      </c>
      <c r="J543" s="3">
        <v>210000000000</v>
      </c>
      <c r="K543" s="4">
        <f t="shared" si="120"/>
        <v>7.2466501085348189E-2</v>
      </c>
      <c r="L543" s="6">
        <f t="shared" si="110"/>
        <v>2.1739950325604456</v>
      </c>
      <c r="M543" s="4">
        <f t="shared" si="111"/>
        <v>12101342.336181734</v>
      </c>
      <c r="N543" s="4">
        <f t="shared" si="112"/>
        <v>1815201350.4272599</v>
      </c>
      <c r="O543" s="4">
        <f t="shared" si="113"/>
        <v>544560405128.17798</v>
      </c>
      <c r="P543" s="4">
        <f t="shared" si="114"/>
        <v>-27228020256.408897</v>
      </c>
      <c r="Q543" s="4">
        <f t="shared" si="117"/>
        <v>0</v>
      </c>
      <c r="R543" s="4">
        <f t="shared" si="117"/>
        <v>0</v>
      </c>
      <c r="S543" s="4">
        <f t="shared" si="117"/>
        <v>0</v>
      </c>
      <c r="T543" s="3"/>
      <c r="U543" s="4">
        <f t="shared" si="115"/>
        <v>39000000</v>
      </c>
      <c r="V543">
        <f t="shared" si="116"/>
        <v>548522427267.13654</v>
      </c>
    </row>
    <row r="544" spans="1:22" x14ac:dyDescent="0.5">
      <c r="A544" s="3">
        <v>80</v>
      </c>
      <c r="B544" s="3">
        <v>1</v>
      </c>
      <c r="C544" s="3">
        <v>5</v>
      </c>
      <c r="D544" s="3">
        <v>30</v>
      </c>
      <c r="E544" s="3">
        <v>5.5E-2</v>
      </c>
      <c r="F544" s="3">
        <f t="shared" si="109"/>
        <v>2.6120115584149359</v>
      </c>
      <c r="G544" s="5">
        <v>0.3</v>
      </c>
      <c r="H544" s="4">
        <v>15000000</v>
      </c>
      <c r="I544" s="4">
        <f t="shared" si="119"/>
        <v>15000000</v>
      </c>
      <c r="J544" s="3">
        <v>210000000000</v>
      </c>
      <c r="K544" s="4">
        <f t="shared" si="120"/>
        <v>7.2466501085348189E-2</v>
      </c>
      <c r="L544" s="6">
        <f t="shared" si="110"/>
        <v>2.1739950325604456</v>
      </c>
      <c r="M544" s="4">
        <f t="shared" si="111"/>
        <v>12101342.336181734</v>
      </c>
      <c r="N544" s="4">
        <f t="shared" si="112"/>
        <v>1815201350.4272599</v>
      </c>
      <c r="O544" s="4">
        <f t="shared" si="113"/>
        <v>544560405128.17798</v>
      </c>
      <c r="P544" s="4">
        <f t="shared" si="114"/>
        <v>-27228020256.408897</v>
      </c>
      <c r="Q544" s="4">
        <f t="shared" si="117"/>
        <v>0</v>
      </c>
      <c r="R544" s="4">
        <f t="shared" si="117"/>
        <v>0</v>
      </c>
      <c r="S544" s="4">
        <f t="shared" si="117"/>
        <v>0</v>
      </c>
      <c r="T544" s="3"/>
      <c r="U544" s="4">
        <f t="shared" si="115"/>
        <v>39000000</v>
      </c>
      <c r="V544">
        <f t="shared" si="116"/>
        <v>548522427267.13654</v>
      </c>
    </row>
    <row r="545" spans="1:22" x14ac:dyDescent="0.5">
      <c r="A545" s="3">
        <v>80</v>
      </c>
      <c r="B545" s="3">
        <v>1</v>
      </c>
      <c r="C545" s="3">
        <v>5</v>
      </c>
      <c r="D545" s="3">
        <v>30</v>
      </c>
      <c r="E545" s="3">
        <v>5.5E-2</v>
      </c>
      <c r="F545" s="3">
        <f t="shared" si="109"/>
        <v>2.6120115584149359</v>
      </c>
      <c r="G545" s="5">
        <v>0.3</v>
      </c>
      <c r="H545" s="4">
        <v>15000000</v>
      </c>
      <c r="I545" s="4">
        <f t="shared" si="119"/>
        <v>15000000</v>
      </c>
      <c r="J545" s="3">
        <v>210000000000</v>
      </c>
      <c r="K545" s="4">
        <f t="shared" si="120"/>
        <v>7.2466501085348189E-2</v>
      </c>
      <c r="L545" s="6">
        <f t="shared" si="110"/>
        <v>2.1739950325604456</v>
      </c>
      <c r="M545" s="4">
        <f t="shared" si="111"/>
        <v>12101342.336181734</v>
      </c>
      <c r="N545" s="4">
        <f t="shared" si="112"/>
        <v>1815201350.4272599</v>
      </c>
      <c r="O545" s="4">
        <f t="shared" si="113"/>
        <v>544560405128.17798</v>
      </c>
      <c r="P545" s="4">
        <f t="shared" si="114"/>
        <v>-27228020256.408897</v>
      </c>
      <c r="Q545" s="4">
        <f t="shared" si="117"/>
        <v>0</v>
      </c>
      <c r="R545" s="4">
        <f t="shared" si="117"/>
        <v>0</v>
      </c>
      <c r="S545" s="4">
        <f t="shared" si="117"/>
        <v>0</v>
      </c>
      <c r="T545" s="3"/>
      <c r="U545" s="4">
        <f t="shared" si="115"/>
        <v>39000000</v>
      </c>
      <c r="V545">
        <f t="shared" si="116"/>
        <v>548522427267.13654</v>
      </c>
    </row>
    <row r="546" spans="1:22" x14ac:dyDescent="0.5">
      <c r="A546" s="3">
        <v>80</v>
      </c>
      <c r="B546" s="3">
        <v>1</v>
      </c>
      <c r="C546" s="3">
        <v>5</v>
      </c>
      <c r="D546" s="3">
        <v>30</v>
      </c>
      <c r="E546" s="3">
        <v>5.5E-2</v>
      </c>
      <c r="F546" s="3">
        <f t="shared" si="109"/>
        <v>2.6120115584149359</v>
      </c>
      <c r="G546" s="5">
        <v>0.3</v>
      </c>
      <c r="H546" s="4">
        <v>15000000</v>
      </c>
      <c r="I546" s="4">
        <f t="shared" si="119"/>
        <v>15000000</v>
      </c>
      <c r="J546" s="3">
        <v>210000000000</v>
      </c>
      <c r="K546" s="4">
        <f t="shared" si="120"/>
        <v>7.2466501085348189E-2</v>
      </c>
      <c r="L546" s="6">
        <f t="shared" si="110"/>
        <v>2.1739950325604456</v>
      </c>
      <c r="M546" s="4">
        <f t="shared" si="111"/>
        <v>12101342.336181734</v>
      </c>
      <c r="N546" s="4">
        <f t="shared" si="112"/>
        <v>1815201350.4272599</v>
      </c>
      <c r="O546" s="4">
        <f t="shared" si="113"/>
        <v>544560405128.17798</v>
      </c>
      <c r="P546" s="4">
        <f t="shared" si="114"/>
        <v>-27228020256.408897</v>
      </c>
      <c r="Q546" s="4">
        <f t="shared" si="117"/>
        <v>0</v>
      </c>
      <c r="R546" s="4">
        <f t="shared" si="117"/>
        <v>0</v>
      </c>
      <c r="S546" s="4">
        <f t="shared" si="117"/>
        <v>0</v>
      </c>
      <c r="T546" s="3"/>
      <c r="U546" s="4">
        <f t="shared" si="115"/>
        <v>39000000</v>
      </c>
      <c r="V546">
        <f t="shared" si="116"/>
        <v>548522427267.13654</v>
      </c>
    </row>
    <row r="547" spans="1:22" x14ac:dyDescent="0.5">
      <c r="A547" s="3">
        <v>80</v>
      </c>
      <c r="B547" s="3">
        <v>0.99462227920000001</v>
      </c>
      <c r="C547" s="3">
        <v>5</v>
      </c>
      <c r="D547" s="3">
        <v>30</v>
      </c>
      <c r="E547" s="3">
        <v>5.5E-2</v>
      </c>
      <c r="F547" s="3">
        <f t="shared" si="109"/>
        <v>2.6120115584149359</v>
      </c>
      <c r="G547" s="5">
        <v>0.3</v>
      </c>
      <c r="H547" s="4">
        <v>15000000</v>
      </c>
      <c r="I547" s="4">
        <f t="shared" si="119"/>
        <v>14919334.188000001</v>
      </c>
      <c r="J547" s="3">
        <v>210000000000</v>
      </c>
      <c r="K547" s="4">
        <f t="shared" si="120"/>
        <v>7.2466501085348189E-2</v>
      </c>
      <c r="L547" s="6">
        <f t="shared" si="110"/>
        <v>2.1739950325604456</v>
      </c>
      <c r="M547" s="4">
        <f t="shared" si="111"/>
        <v>12030857.38234739</v>
      </c>
      <c r="N547" s="4">
        <f t="shared" si="112"/>
        <v>1804628607.3521085</v>
      </c>
      <c r="O547" s="4">
        <f t="shared" si="113"/>
        <v>541388582205.63257</v>
      </c>
      <c r="P547" s="4">
        <f t="shared" si="114"/>
        <v>-27069429110.281628</v>
      </c>
      <c r="Q547" s="4">
        <f t="shared" si="117"/>
        <v>10572743.075151443</v>
      </c>
      <c r="R547" s="4">
        <f t="shared" si="117"/>
        <v>3171822922.5454102</v>
      </c>
      <c r="S547" s="4">
        <f t="shared" si="117"/>
        <v>-158591146.12726974</v>
      </c>
      <c r="T547" s="3"/>
      <c r="U547" s="4">
        <f t="shared" si="115"/>
        <v>38790268.888800003</v>
      </c>
      <c r="V547">
        <f t="shared" si="116"/>
        <v>548522427267.13654</v>
      </c>
    </row>
    <row r="548" spans="1:22" x14ac:dyDescent="0.5">
      <c r="A548" s="3">
        <v>80</v>
      </c>
      <c r="B548" s="3">
        <v>0.99167733660000001</v>
      </c>
      <c r="C548" s="3">
        <v>5</v>
      </c>
      <c r="D548" s="3">
        <v>30</v>
      </c>
      <c r="E548" s="3">
        <v>5.5E-2</v>
      </c>
      <c r="F548" s="3">
        <f t="shared" si="109"/>
        <v>2.6120115584149359</v>
      </c>
      <c r="G548" s="5">
        <v>0.3</v>
      </c>
      <c r="H548" s="4">
        <v>15000000</v>
      </c>
      <c r="I548" s="4">
        <f t="shared" si="119"/>
        <v>14875160.049000001</v>
      </c>
      <c r="J548" s="3">
        <v>210000000000</v>
      </c>
      <c r="K548" s="4">
        <f t="shared" si="120"/>
        <v>7.2466501085348189E-2</v>
      </c>
      <c r="L548" s="6">
        <f t="shared" si="110"/>
        <v>2.1739950325604456</v>
      </c>
      <c r="M548" s="4">
        <f t="shared" si="111"/>
        <v>11992271.920257501</v>
      </c>
      <c r="N548" s="4">
        <f t="shared" si="112"/>
        <v>1798840788.0386252</v>
      </c>
      <c r="O548" s="4">
        <f t="shared" si="113"/>
        <v>539652236411.58759</v>
      </c>
      <c r="P548" s="4">
        <f t="shared" si="114"/>
        <v>-26982611820.579376</v>
      </c>
      <c r="Q548" s="4">
        <f t="shared" si="117"/>
        <v>5787819.3134832382</v>
      </c>
      <c r="R548" s="4">
        <f t="shared" si="117"/>
        <v>1736345794.0449829</v>
      </c>
      <c r="S548" s="4">
        <f t="shared" si="117"/>
        <v>-86817289.702251434</v>
      </c>
      <c r="T548" s="3"/>
      <c r="U548" s="4">
        <f t="shared" si="115"/>
        <v>38675416.127400003</v>
      </c>
      <c r="V548">
        <f t="shared" si="116"/>
        <v>548522427267.13654</v>
      </c>
    </row>
    <row r="549" spans="1:22" x14ac:dyDescent="0.5">
      <c r="A549" s="3">
        <v>80</v>
      </c>
      <c r="B549" s="3">
        <v>0.98386683699999999</v>
      </c>
      <c r="C549" s="3">
        <v>5</v>
      </c>
      <c r="D549" s="3">
        <v>30</v>
      </c>
      <c r="E549" s="3">
        <v>5.5E-2</v>
      </c>
      <c r="F549" s="3">
        <f t="shared" si="109"/>
        <v>2.6120115584149359</v>
      </c>
      <c r="G549" s="5">
        <v>0.3</v>
      </c>
      <c r="H549" s="4">
        <v>15000000</v>
      </c>
      <c r="I549" s="4">
        <f t="shared" si="119"/>
        <v>14758002.555</v>
      </c>
      <c r="J549" s="3">
        <v>210000000000</v>
      </c>
      <c r="K549" s="4">
        <f t="shared" si="120"/>
        <v>7.2466501085348189E-2</v>
      </c>
      <c r="L549" s="6">
        <f t="shared" si="110"/>
        <v>2.1739950325604456</v>
      </c>
      <c r="M549" s="4">
        <f t="shared" si="111"/>
        <v>11889982.878454862</v>
      </c>
      <c r="N549" s="4">
        <f t="shared" si="112"/>
        <v>1783497431.7682295</v>
      </c>
      <c r="O549" s="4">
        <f t="shared" si="113"/>
        <v>535049229530.46881</v>
      </c>
      <c r="P549" s="4">
        <f t="shared" si="114"/>
        <v>-26752461476.523441</v>
      </c>
      <c r="Q549" s="4">
        <f t="shared" si="117"/>
        <v>15343356.270395756</v>
      </c>
      <c r="R549" s="4">
        <f t="shared" si="117"/>
        <v>4603006881.1187744</v>
      </c>
      <c r="S549" s="4">
        <f t="shared" si="117"/>
        <v>-230150344.05593491</v>
      </c>
      <c r="T549" s="3"/>
      <c r="U549" s="4">
        <f t="shared" si="115"/>
        <v>38370806.642999999</v>
      </c>
      <c r="V549">
        <f t="shared" si="116"/>
        <v>548522427267.13654</v>
      </c>
    </row>
    <row r="550" spans="1:22" x14ac:dyDescent="0.5">
      <c r="A550" s="3">
        <v>80</v>
      </c>
      <c r="B550" s="3">
        <v>0.97426376439999995</v>
      </c>
      <c r="C550" s="3">
        <v>5</v>
      </c>
      <c r="D550" s="3">
        <v>30</v>
      </c>
      <c r="E550" s="3">
        <v>5.5E-2</v>
      </c>
      <c r="F550" s="3">
        <f t="shared" si="109"/>
        <v>2.6120115584149359</v>
      </c>
      <c r="G550" s="5">
        <v>0.3</v>
      </c>
      <c r="H550" s="4">
        <v>15000000</v>
      </c>
      <c r="I550" s="4">
        <f t="shared" si="119"/>
        <v>14613956.466</v>
      </c>
      <c r="J550" s="3">
        <v>210000000000</v>
      </c>
      <c r="K550" s="4">
        <f t="shared" si="120"/>
        <v>7.2466501085348189E-2</v>
      </c>
      <c r="L550" s="6">
        <f t="shared" si="110"/>
        <v>2.1739950325604456</v>
      </c>
      <c r="M550" s="4">
        <f t="shared" si="111"/>
        <v>11764310.441335317</v>
      </c>
      <c r="N550" s="4">
        <f t="shared" si="112"/>
        <v>1764646566.2002976</v>
      </c>
      <c r="O550" s="4">
        <f t="shared" si="113"/>
        <v>529393969860.08929</v>
      </c>
      <c r="P550" s="4">
        <f t="shared" si="114"/>
        <v>-26469698493.004463</v>
      </c>
      <c r="Q550" s="4">
        <f t="shared" si="117"/>
        <v>18850865.56793189</v>
      </c>
      <c r="R550" s="4">
        <f t="shared" si="117"/>
        <v>5655259670.3795166</v>
      </c>
      <c r="S550" s="4">
        <f t="shared" si="117"/>
        <v>-282762983.51897812</v>
      </c>
      <c r="T550" s="3"/>
      <c r="U550" s="4">
        <f t="shared" si="115"/>
        <v>37996286.8116</v>
      </c>
      <c r="V550">
        <f t="shared" si="116"/>
        <v>548522427267.13654</v>
      </c>
    </row>
    <row r="551" spans="1:22" x14ac:dyDescent="0.5">
      <c r="A551" s="3">
        <v>80</v>
      </c>
      <c r="B551" s="3">
        <v>0.96363636379999995</v>
      </c>
      <c r="C551" s="3">
        <v>5</v>
      </c>
      <c r="D551" s="3">
        <v>30</v>
      </c>
      <c r="E551" s="3">
        <v>5.5E-2</v>
      </c>
      <c r="F551" s="3">
        <f t="shared" si="109"/>
        <v>2.6120115584149359</v>
      </c>
      <c r="G551" s="5">
        <v>0.3</v>
      </c>
      <c r="H551" s="4">
        <v>15000000</v>
      </c>
      <c r="I551" s="4">
        <f t="shared" si="119"/>
        <v>14454545.456999999</v>
      </c>
      <c r="J551" s="3">
        <v>210000000000</v>
      </c>
      <c r="K551" s="4">
        <f t="shared" si="120"/>
        <v>7.2466501085348189E-2</v>
      </c>
      <c r="L551" s="6">
        <f t="shared" si="110"/>
        <v>2.1739950325604456</v>
      </c>
      <c r="M551" s="4">
        <f t="shared" si="111"/>
        <v>11625353.262546629</v>
      </c>
      <c r="N551" s="4">
        <f t="shared" si="112"/>
        <v>1743802989.3819942</v>
      </c>
      <c r="O551" s="4">
        <f t="shared" si="113"/>
        <v>523140896814.59833</v>
      </c>
      <c r="P551" s="4">
        <f t="shared" si="114"/>
        <v>-26157044840.729916</v>
      </c>
      <c r="Q551" s="4">
        <f t="shared" si="117"/>
        <v>20843576.818303347</v>
      </c>
      <c r="R551" s="4">
        <f t="shared" si="117"/>
        <v>6253073045.4909668</v>
      </c>
      <c r="S551" s="4">
        <f t="shared" si="117"/>
        <v>-312653652.27454758</v>
      </c>
      <c r="T551" s="3"/>
      <c r="U551" s="4">
        <f t="shared" si="115"/>
        <v>37581818.188199997</v>
      </c>
      <c r="V551">
        <f t="shared" si="116"/>
        <v>548522427267.13654</v>
      </c>
    </row>
    <row r="552" spans="1:22" x14ac:dyDescent="0.5">
      <c r="A552" s="3">
        <v>80</v>
      </c>
      <c r="B552" s="3">
        <v>0.95096030759999994</v>
      </c>
      <c r="C552" s="3">
        <v>5</v>
      </c>
      <c r="D552" s="3">
        <v>30</v>
      </c>
      <c r="E552" s="3">
        <v>5.5E-2</v>
      </c>
      <c r="F552" s="3">
        <f t="shared" si="109"/>
        <v>2.6120115584149359</v>
      </c>
      <c r="G552" s="5">
        <v>0.3</v>
      </c>
      <c r="H552" s="4">
        <v>15000000</v>
      </c>
      <c r="I552" s="4">
        <f t="shared" si="119"/>
        <v>14264404.614</v>
      </c>
      <c r="J552" s="3">
        <v>210000000000</v>
      </c>
      <c r="K552" s="4">
        <f t="shared" si="120"/>
        <v>7.2466501085348189E-2</v>
      </c>
      <c r="L552" s="6">
        <f t="shared" si="110"/>
        <v>2.1739950325604456</v>
      </c>
      <c r="M552" s="4">
        <f t="shared" si="111"/>
        <v>11459776.199307879</v>
      </c>
      <c r="N552" s="4">
        <f t="shared" si="112"/>
        <v>1718966429.8961821</v>
      </c>
      <c r="O552" s="4">
        <f t="shared" si="113"/>
        <v>515689928968.85455</v>
      </c>
      <c r="P552" s="4">
        <f t="shared" si="114"/>
        <v>-25784496448.44273</v>
      </c>
      <c r="Q552" s="4">
        <f t="shared" si="117"/>
        <v>24836559.485812187</v>
      </c>
      <c r="R552" s="4">
        <f t="shared" si="117"/>
        <v>7450967845.7437744</v>
      </c>
      <c r="S552" s="4">
        <f t="shared" si="117"/>
        <v>-372548392.28718567</v>
      </c>
      <c r="T552" s="3"/>
      <c r="U552" s="4">
        <f t="shared" si="115"/>
        <v>37087451.996399999</v>
      </c>
      <c r="V552">
        <f t="shared" si="116"/>
        <v>548522427267.13654</v>
      </c>
    </row>
    <row r="553" spans="1:22" x14ac:dyDescent="0.5">
      <c r="A553" s="3">
        <v>80</v>
      </c>
      <c r="B553" s="3">
        <v>0.93687580040000007</v>
      </c>
      <c r="C553" s="3">
        <v>5</v>
      </c>
      <c r="D553" s="3">
        <v>30</v>
      </c>
      <c r="E553" s="3">
        <v>5.5E-2</v>
      </c>
      <c r="F553" s="3">
        <f t="shared" si="109"/>
        <v>2.6120115584149359</v>
      </c>
      <c r="G553" s="5">
        <v>0.3</v>
      </c>
      <c r="H553" s="4">
        <v>15000000</v>
      </c>
      <c r="I553" s="4">
        <f t="shared" si="119"/>
        <v>14053137.006000001</v>
      </c>
      <c r="J553" s="3">
        <v>210000000000</v>
      </c>
      <c r="K553" s="4">
        <f t="shared" si="120"/>
        <v>7.2466501085348189E-2</v>
      </c>
      <c r="L553" s="6">
        <f t="shared" si="110"/>
        <v>2.1739950325604456</v>
      </c>
      <c r="M553" s="4">
        <f t="shared" si="111"/>
        <v>11276017.379635733</v>
      </c>
      <c r="N553" s="4">
        <f t="shared" si="112"/>
        <v>1691402606.9453599</v>
      </c>
      <c r="O553" s="4">
        <f t="shared" si="113"/>
        <v>507420782083.60797</v>
      </c>
      <c r="P553" s="4">
        <f t="shared" si="114"/>
        <v>-25371039104.180401</v>
      </c>
      <c r="Q553" s="4">
        <f t="shared" si="117"/>
        <v>27563822.950822115</v>
      </c>
      <c r="R553" s="4">
        <f t="shared" si="117"/>
        <v>8269146885.246582</v>
      </c>
      <c r="S553" s="4">
        <f t="shared" si="117"/>
        <v>-413457344.2623291</v>
      </c>
      <c r="T553" s="3"/>
      <c r="U553" s="4">
        <f t="shared" si="115"/>
        <v>36538156.215600006</v>
      </c>
      <c r="V553">
        <f t="shared" si="116"/>
        <v>548522427267.13654</v>
      </c>
    </row>
    <row r="554" spans="1:22" x14ac:dyDescent="0.5">
      <c r="A554" s="3">
        <v>80</v>
      </c>
      <c r="B554" s="3">
        <v>0.92035851459999996</v>
      </c>
      <c r="C554" s="3">
        <v>5</v>
      </c>
      <c r="D554" s="3">
        <v>30</v>
      </c>
      <c r="E554" s="3">
        <v>5.5E-2</v>
      </c>
      <c r="F554" s="3">
        <f t="shared" si="109"/>
        <v>2.6120115584149359</v>
      </c>
      <c r="G554" s="5">
        <v>0.3</v>
      </c>
      <c r="H554" s="4">
        <v>15000000</v>
      </c>
      <c r="I554" s="4">
        <f t="shared" si="119"/>
        <v>13805377.718999999</v>
      </c>
      <c r="J554" s="3">
        <v>210000000000</v>
      </c>
      <c r="K554" s="4">
        <f t="shared" si="120"/>
        <v>7.2466501085348189E-2</v>
      </c>
      <c r="L554" s="6">
        <f t="shared" si="110"/>
        <v>2.1739950325604456</v>
      </c>
      <c r="M554" s="4">
        <f t="shared" si="111"/>
        <v>11060811.751671711</v>
      </c>
      <c r="N554" s="4">
        <f t="shared" si="112"/>
        <v>1659121762.7507565</v>
      </c>
      <c r="O554" s="4">
        <f t="shared" si="113"/>
        <v>497736528825.22699</v>
      </c>
      <c r="P554" s="4">
        <f t="shared" si="114"/>
        <v>-24886826441.261349</v>
      </c>
      <c r="Q554" s="4">
        <f t="shared" si="117"/>
        <v>32280844.194603443</v>
      </c>
      <c r="R554" s="4">
        <f t="shared" si="117"/>
        <v>9684253258.3809814</v>
      </c>
      <c r="S554" s="4">
        <f t="shared" si="117"/>
        <v>-484212662.91905212</v>
      </c>
      <c r="T554" s="3"/>
      <c r="U554" s="4">
        <f t="shared" si="115"/>
        <v>35893982.069399998</v>
      </c>
      <c r="V554">
        <f t="shared" si="116"/>
        <v>548522427267.13654</v>
      </c>
    </row>
    <row r="555" spans="1:22" x14ac:dyDescent="0.5">
      <c r="A555" s="3">
        <v>80</v>
      </c>
      <c r="B555" s="3">
        <v>0.9008962868</v>
      </c>
      <c r="C555" s="3">
        <v>5</v>
      </c>
      <c r="D555" s="3">
        <v>30</v>
      </c>
      <c r="E555" s="3">
        <v>5.5E-2</v>
      </c>
      <c r="F555" s="3">
        <f t="shared" si="109"/>
        <v>2.6120115584149359</v>
      </c>
      <c r="G555" s="5">
        <v>0.3</v>
      </c>
      <c r="H555" s="4">
        <v>15000000</v>
      </c>
      <c r="I555" s="4">
        <f t="shared" si="119"/>
        <v>13513444.301999999</v>
      </c>
      <c r="J555" s="3">
        <v>210000000000</v>
      </c>
      <c r="K555" s="4">
        <f t="shared" si="120"/>
        <v>7.2466501085348189E-2</v>
      </c>
      <c r="L555" s="6">
        <f t="shared" si="110"/>
        <v>2.1739950325604456</v>
      </c>
      <c r="M555" s="4">
        <f t="shared" si="111"/>
        <v>10807649.296117801</v>
      </c>
      <c r="N555" s="4">
        <f t="shared" si="112"/>
        <v>1621147394.41767</v>
      </c>
      <c r="O555" s="4">
        <f t="shared" si="113"/>
        <v>486344218325.30103</v>
      </c>
      <c r="P555" s="4">
        <f t="shared" si="114"/>
        <v>-24317210916.265053</v>
      </c>
      <c r="Q555" s="4">
        <f t="shared" si="117"/>
        <v>37974368.333086491</v>
      </c>
      <c r="R555" s="4">
        <f t="shared" si="117"/>
        <v>11392310499.925964</v>
      </c>
      <c r="S555" s="4">
        <f t="shared" si="117"/>
        <v>-569615524.99629593</v>
      </c>
      <c r="T555" s="3"/>
      <c r="U555" s="4">
        <f t="shared" si="115"/>
        <v>35134955.185199998</v>
      </c>
      <c r="V555">
        <f t="shared" si="116"/>
        <v>548522427267.13654</v>
      </c>
    </row>
    <row r="556" spans="1:22" x14ac:dyDescent="0.5">
      <c r="A556" s="3">
        <v>80</v>
      </c>
      <c r="B556" s="3">
        <v>0.87823303500000005</v>
      </c>
      <c r="C556" s="3">
        <v>5</v>
      </c>
      <c r="D556" s="3">
        <v>30</v>
      </c>
      <c r="E556" s="3">
        <v>5.5E-2</v>
      </c>
      <c r="F556" s="3">
        <f t="shared" si="109"/>
        <v>2.6120115584149359</v>
      </c>
      <c r="G556" s="5">
        <v>0.3</v>
      </c>
      <c r="H556" s="4">
        <v>15000000</v>
      </c>
      <c r="I556" s="4">
        <f t="shared" si="119"/>
        <v>13173495.525</v>
      </c>
      <c r="J556" s="3">
        <v>210000000000</v>
      </c>
      <c r="K556" s="4">
        <f t="shared" si="120"/>
        <v>7.2466501085348189E-2</v>
      </c>
      <c r="L556" s="6">
        <f t="shared" si="110"/>
        <v>2.1739950325604456</v>
      </c>
      <c r="M556" s="4">
        <f t="shared" si="111"/>
        <v>10513422.804362876</v>
      </c>
      <c r="N556" s="4">
        <f t="shared" si="112"/>
        <v>1577013420.6544316</v>
      </c>
      <c r="O556" s="4">
        <f t="shared" si="113"/>
        <v>473104026196.32941</v>
      </c>
      <c r="P556" s="4">
        <f t="shared" si="114"/>
        <v>-23655201309.816471</v>
      </c>
      <c r="Q556" s="4">
        <f t="shared" si="117"/>
        <v>44133973.76323843</v>
      </c>
      <c r="R556" s="4">
        <f t="shared" si="117"/>
        <v>13240192128.971619</v>
      </c>
      <c r="S556" s="4">
        <f t="shared" si="117"/>
        <v>-662009606.4485817</v>
      </c>
      <c r="T556" s="3"/>
      <c r="U556" s="4">
        <f t="shared" si="115"/>
        <v>34251088.365000002</v>
      </c>
      <c r="V556">
        <f t="shared" si="116"/>
        <v>548522427267.13654</v>
      </c>
    </row>
    <row r="557" spans="1:22" x14ac:dyDescent="0.5">
      <c r="A557" s="3">
        <v>80</v>
      </c>
      <c r="B557" s="3">
        <v>0.85403329080000001</v>
      </c>
      <c r="C557" s="3">
        <v>5</v>
      </c>
      <c r="D557" s="3">
        <v>30</v>
      </c>
      <c r="E557" s="3">
        <v>5.5E-2</v>
      </c>
      <c r="F557" s="3">
        <f t="shared" si="109"/>
        <v>2.6120115584149359</v>
      </c>
      <c r="G557" s="5">
        <v>0.3</v>
      </c>
      <c r="H557" s="4">
        <v>15000000</v>
      </c>
      <c r="I557" s="4">
        <f t="shared" si="119"/>
        <v>12810499.362</v>
      </c>
      <c r="J557" s="3">
        <v>210000000000</v>
      </c>
      <c r="K557" s="4">
        <f t="shared" si="120"/>
        <v>7.2466501085348189E-2</v>
      </c>
      <c r="L557" s="6">
        <f t="shared" si="110"/>
        <v>2.1739950325604456</v>
      </c>
      <c r="M557" s="4">
        <f t="shared" si="111"/>
        <v>10199946.966625167</v>
      </c>
      <c r="N557" s="4">
        <f t="shared" si="112"/>
        <v>1529992044.9937751</v>
      </c>
      <c r="O557" s="4">
        <f t="shared" si="113"/>
        <v>458997613498.13257</v>
      </c>
      <c r="P557" s="4">
        <f t="shared" si="114"/>
        <v>-22949880674.906628</v>
      </c>
      <c r="Q557" s="4">
        <f t="shared" si="117"/>
        <v>47021375.660656452</v>
      </c>
      <c r="R557" s="4">
        <f t="shared" si="117"/>
        <v>14106412698.196838</v>
      </c>
      <c r="S557" s="4">
        <f t="shared" si="117"/>
        <v>-705320634.90984344</v>
      </c>
      <c r="T557" s="3"/>
      <c r="U557" s="4">
        <f t="shared" si="115"/>
        <v>33307298.341200002</v>
      </c>
      <c r="V557">
        <f t="shared" si="116"/>
        <v>548522427267.13654</v>
      </c>
    </row>
    <row r="558" spans="1:22" x14ac:dyDescent="0.5">
      <c r="A558" s="3">
        <v>80</v>
      </c>
      <c r="B558" s="3">
        <v>0.82701664539999997</v>
      </c>
      <c r="C558" s="3">
        <v>5</v>
      </c>
      <c r="D558" s="3">
        <v>30</v>
      </c>
      <c r="E558" s="3">
        <v>5.5E-2</v>
      </c>
      <c r="F558" s="3">
        <f t="shared" si="109"/>
        <v>2.6120115584149359</v>
      </c>
      <c r="G558" s="5">
        <v>0.3</v>
      </c>
      <c r="H558" s="4">
        <v>15000000</v>
      </c>
      <c r="I558" s="4">
        <f t="shared" si="119"/>
        <v>12405249.681</v>
      </c>
      <c r="J558" s="3">
        <v>210000000000</v>
      </c>
      <c r="K558" s="4">
        <f t="shared" si="120"/>
        <v>7.2466501085348189E-2</v>
      </c>
      <c r="L558" s="6">
        <f t="shared" si="110"/>
        <v>2.1739950325604456</v>
      </c>
      <c r="M558" s="4">
        <f t="shared" si="111"/>
        <v>9850856.3309003115</v>
      </c>
      <c r="N558" s="4">
        <f t="shared" si="112"/>
        <v>1477628449.6350467</v>
      </c>
      <c r="O558" s="4">
        <f t="shared" si="113"/>
        <v>443288534890.51398</v>
      </c>
      <c r="P558" s="4">
        <f t="shared" si="114"/>
        <v>-22164426744.5257</v>
      </c>
      <c r="Q558" s="4">
        <f t="shared" si="117"/>
        <v>52363595.358728409</v>
      </c>
      <c r="R558" s="4">
        <f t="shared" si="117"/>
        <v>15709078607.618591</v>
      </c>
      <c r="S558" s="4">
        <f t="shared" si="117"/>
        <v>-785453930.38092804</v>
      </c>
      <c r="T558" s="3"/>
      <c r="U558" s="4">
        <f t="shared" si="115"/>
        <v>32253649.170600001</v>
      </c>
      <c r="V558">
        <f t="shared" si="116"/>
        <v>548522427267.13654</v>
      </c>
    </row>
    <row r="559" spans="1:22" x14ac:dyDescent="0.5">
      <c r="A559" s="3">
        <v>80</v>
      </c>
      <c r="B559" s="3">
        <v>0.79731113919999996</v>
      </c>
      <c r="C559" s="3">
        <v>5</v>
      </c>
      <c r="D559" s="3">
        <v>30</v>
      </c>
      <c r="E559" s="3">
        <v>5.5E-2</v>
      </c>
      <c r="F559" s="3">
        <f t="shared" si="109"/>
        <v>2.6120115584149359</v>
      </c>
      <c r="G559" s="5">
        <v>0.3</v>
      </c>
      <c r="H559" s="4">
        <v>15000000</v>
      </c>
      <c r="I559" s="4">
        <f t="shared" si="119"/>
        <v>11959667.088</v>
      </c>
      <c r="J559" s="3">
        <v>210000000000</v>
      </c>
      <c r="K559" s="4">
        <f t="shared" si="120"/>
        <v>7.2466501085348189E-2</v>
      </c>
      <c r="L559" s="6">
        <f t="shared" si="110"/>
        <v>2.1739950325604456</v>
      </c>
      <c r="M559" s="4">
        <f t="shared" si="111"/>
        <v>9468118.7851897869</v>
      </c>
      <c r="N559" s="4">
        <f t="shared" si="112"/>
        <v>1420217817.7784679</v>
      </c>
      <c r="O559" s="4">
        <f t="shared" si="113"/>
        <v>426065345333.54034</v>
      </c>
      <c r="P559" s="4">
        <f t="shared" si="114"/>
        <v>-21303267266.677021</v>
      </c>
      <c r="Q559" s="4">
        <f t="shared" si="117"/>
        <v>57410631.856578827</v>
      </c>
      <c r="R559" s="4">
        <f t="shared" si="117"/>
        <v>17223189556.973633</v>
      </c>
      <c r="S559" s="4">
        <f t="shared" si="117"/>
        <v>-861159477.84867859</v>
      </c>
      <c r="T559" s="3"/>
      <c r="U559" s="4">
        <f t="shared" si="115"/>
        <v>31095134.428799998</v>
      </c>
      <c r="V559">
        <f t="shared" si="116"/>
        <v>548522427267.13654</v>
      </c>
    </row>
    <row r="560" spans="1:22" x14ac:dyDescent="0.5">
      <c r="A560" s="3">
        <v>80</v>
      </c>
      <c r="B560" s="3">
        <v>0.76542893699999992</v>
      </c>
      <c r="C560" s="3">
        <v>5</v>
      </c>
      <c r="D560" s="3">
        <v>30</v>
      </c>
      <c r="E560" s="3">
        <v>5.5E-2</v>
      </c>
      <c r="F560" s="3">
        <f t="shared" si="109"/>
        <v>2.6120115584149359</v>
      </c>
      <c r="G560" s="5">
        <v>0.3</v>
      </c>
      <c r="H560" s="4">
        <v>15000000</v>
      </c>
      <c r="I560" s="4">
        <f t="shared" si="119"/>
        <v>11481434.055</v>
      </c>
      <c r="J560" s="3">
        <v>210000000000</v>
      </c>
      <c r="K560" s="4">
        <f t="shared" si="120"/>
        <v>7.2466501085348189E-2</v>
      </c>
      <c r="L560" s="6">
        <f t="shared" si="110"/>
        <v>2.1739950325604456</v>
      </c>
      <c r="M560" s="4">
        <f t="shared" si="111"/>
        <v>9058657.2979912423</v>
      </c>
      <c r="N560" s="4">
        <f t="shared" si="112"/>
        <v>1358798594.6986864</v>
      </c>
      <c r="O560" s="4">
        <f t="shared" si="113"/>
        <v>407639578409.60596</v>
      </c>
      <c r="P560" s="4">
        <f t="shared" si="114"/>
        <v>-20381978920.480297</v>
      </c>
      <c r="Q560" s="4">
        <f t="shared" si="117"/>
        <v>61419223.079781532</v>
      </c>
      <c r="R560" s="4">
        <f t="shared" si="117"/>
        <v>18425766923.934387</v>
      </c>
      <c r="S560" s="4">
        <f t="shared" si="117"/>
        <v>-921288346.19672394</v>
      </c>
      <c r="T560" s="3"/>
      <c r="U560" s="4">
        <f t="shared" si="115"/>
        <v>29851728.543000001</v>
      </c>
      <c r="V560">
        <f t="shared" si="116"/>
        <v>548522427267.13654</v>
      </c>
    </row>
    <row r="561" spans="1:22" x14ac:dyDescent="0.5">
      <c r="A561" s="3">
        <v>80</v>
      </c>
      <c r="B561" s="3">
        <v>0.73008962879999995</v>
      </c>
      <c r="C561" s="3">
        <v>5</v>
      </c>
      <c r="D561" s="3">
        <v>30</v>
      </c>
      <c r="E561" s="3">
        <v>5.5E-2</v>
      </c>
      <c r="F561" s="3">
        <f t="shared" si="109"/>
        <v>2.6120115584149359</v>
      </c>
      <c r="G561" s="5">
        <v>0.3</v>
      </c>
      <c r="H561" s="4">
        <v>15000000</v>
      </c>
      <c r="I561" s="4">
        <f t="shared" si="119"/>
        <v>10951344.432</v>
      </c>
      <c r="J561" s="3">
        <v>210000000000</v>
      </c>
      <c r="K561" s="4">
        <f t="shared" si="120"/>
        <v>7.2466501085348189E-2</v>
      </c>
      <c r="L561" s="6">
        <f t="shared" si="110"/>
        <v>2.1739950325604456</v>
      </c>
      <c r="M561" s="4">
        <f t="shared" si="111"/>
        <v>8606457.0877812095</v>
      </c>
      <c r="N561" s="4">
        <f t="shared" si="112"/>
        <v>1290968563.1671813</v>
      </c>
      <c r="O561" s="4">
        <f t="shared" si="113"/>
        <v>387290568950.15436</v>
      </c>
      <c r="P561" s="4">
        <f t="shared" si="114"/>
        <v>-19364528447.507721</v>
      </c>
      <c r="Q561" s="4">
        <f t="shared" si="117"/>
        <v>67830031.531505108</v>
      </c>
      <c r="R561" s="4">
        <f t="shared" si="117"/>
        <v>20349009459.451599</v>
      </c>
      <c r="S561" s="4">
        <f t="shared" si="117"/>
        <v>-1017450472.9725761</v>
      </c>
      <c r="T561" s="3"/>
      <c r="U561" s="4">
        <f t="shared" si="115"/>
        <v>28473495.523200002</v>
      </c>
      <c r="V561">
        <f t="shared" si="116"/>
        <v>548522427267.13654</v>
      </c>
    </row>
    <row r="562" spans="1:22" x14ac:dyDescent="0.5">
      <c r="A562" s="3">
        <v>80</v>
      </c>
      <c r="B562" s="3">
        <v>0.69193341879999992</v>
      </c>
      <c r="C562" s="3">
        <v>5</v>
      </c>
      <c r="D562" s="3">
        <v>30</v>
      </c>
      <c r="E562" s="3">
        <v>5.5E-2</v>
      </c>
      <c r="F562" s="3">
        <f t="shared" si="109"/>
        <v>2.6120115584149359</v>
      </c>
      <c r="G562" s="5">
        <v>0.3</v>
      </c>
      <c r="H562" s="4">
        <v>15000000</v>
      </c>
      <c r="I562" s="4">
        <f t="shared" si="119"/>
        <v>10379001.282</v>
      </c>
      <c r="J562" s="3">
        <v>210000000000</v>
      </c>
      <c r="K562" s="4">
        <f t="shared" si="120"/>
        <v>7.2466501085348189E-2</v>
      </c>
      <c r="L562" s="6">
        <f t="shared" si="110"/>
        <v>2.1739950325604456</v>
      </c>
      <c r="M562" s="4">
        <f t="shared" si="111"/>
        <v>8120258.9529601093</v>
      </c>
      <c r="N562" s="4">
        <f t="shared" si="112"/>
        <v>1218038842.9440165</v>
      </c>
      <c r="O562" s="4">
        <f t="shared" si="113"/>
        <v>365411652883.20496</v>
      </c>
      <c r="P562" s="4">
        <f t="shared" si="114"/>
        <v>-18270582644.160248</v>
      </c>
      <c r="Q562" s="4">
        <f t="shared" si="117"/>
        <v>72929720.223164797</v>
      </c>
      <c r="R562" s="4">
        <f t="shared" si="117"/>
        <v>21878916066.949402</v>
      </c>
      <c r="S562" s="4">
        <f t="shared" si="117"/>
        <v>-1093945803.3474731</v>
      </c>
      <c r="T562" s="3"/>
      <c r="U562" s="4">
        <f t="shared" si="115"/>
        <v>26985403.3332</v>
      </c>
      <c r="V562">
        <f t="shared" si="116"/>
        <v>548522427267.13654</v>
      </c>
    </row>
    <row r="563" spans="1:22" x14ac:dyDescent="0.5">
      <c r="A563" s="3">
        <v>80</v>
      </c>
      <c r="B563" s="3">
        <v>0.65006402019999998</v>
      </c>
      <c r="C563" s="3">
        <v>5</v>
      </c>
      <c r="D563" s="3">
        <v>30</v>
      </c>
      <c r="E563" s="3">
        <v>5.5E-2</v>
      </c>
      <c r="F563" s="3">
        <f t="shared" si="109"/>
        <v>2.6120115584149359</v>
      </c>
      <c r="G563" s="5">
        <v>0.3</v>
      </c>
      <c r="H563" s="4">
        <v>15000000</v>
      </c>
      <c r="I563" s="4">
        <f t="shared" si="119"/>
        <v>9750960.3029999994</v>
      </c>
      <c r="J563" s="3">
        <v>210000000000</v>
      </c>
      <c r="K563" s="4">
        <f t="shared" si="120"/>
        <v>7.2466501085348189E-2</v>
      </c>
      <c r="L563" s="6">
        <f t="shared" si="110"/>
        <v>2.1739950325604456</v>
      </c>
      <c r="M563" s="4">
        <f t="shared" si="111"/>
        <v>7589316.8894696115</v>
      </c>
      <c r="N563" s="4">
        <f t="shared" si="112"/>
        <v>1138397533.4204416</v>
      </c>
      <c r="O563" s="4">
        <f t="shared" si="113"/>
        <v>341519260026.13251</v>
      </c>
      <c r="P563" s="4">
        <f t="shared" si="114"/>
        <v>-17075963001.306625</v>
      </c>
      <c r="Q563" s="4">
        <f t="shared" si="117"/>
        <v>79641309.523574829</v>
      </c>
      <c r="R563" s="4">
        <f t="shared" si="117"/>
        <v>23892392857.072449</v>
      </c>
      <c r="S563" s="4">
        <f t="shared" si="117"/>
        <v>-1194619642.8536224</v>
      </c>
      <c r="T563" s="3"/>
      <c r="U563" s="4">
        <f t="shared" si="115"/>
        <v>25352496.787799999</v>
      </c>
      <c r="V563">
        <f t="shared" si="116"/>
        <v>548522427267.13654</v>
      </c>
    </row>
    <row r="564" spans="1:22" x14ac:dyDescent="0.5">
      <c r="A564" s="3">
        <v>80</v>
      </c>
      <c r="B564" s="3">
        <v>0.60601792620000006</v>
      </c>
      <c r="C564" s="3">
        <v>5</v>
      </c>
      <c r="D564" s="3">
        <v>30</v>
      </c>
      <c r="E564" s="3">
        <v>5.5E-2</v>
      </c>
      <c r="F564" s="3">
        <f t="shared" si="109"/>
        <v>2.6120115584149359</v>
      </c>
      <c r="G564" s="5">
        <v>0.3</v>
      </c>
      <c r="H564" s="4">
        <v>15000000</v>
      </c>
      <c r="I564" s="4">
        <f t="shared" si="119"/>
        <v>9090268.8930000011</v>
      </c>
      <c r="J564" s="3">
        <v>210000000000</v>
      </c>
      <c r="K564" s="4">
        <f t="shared" si="120"/>
        <v>7.2466501085348189E-2</v>
      </c>
      <c r="L564" s="6">
        <f t="shared" si="110"/>
        <v>2.1739950325604456</v>
      </c>
      <c r="M564" s="4">
        <f t="shared" si="111"/>
        <v>7033845.214523592</v>
      </c>
      <c r="N564" s="4">
        <f t="shared" si="112"/>
        <v>1055076782.1785389</v>
      </c>
      <c r="O564" s="4">
        <f t="shared" si="113"/>
        <v>316523034653.56171</v>
      </c>
      <c r="P564" s="4">
        <f t="shared" si="114"/>
        <v>-15826151732.678083</v>
      </c>
      <c r="Q564" s="4">
        <f t="shared" si="117"/>
        <v>83320751.241902709</v>
      </c>
      <c r="R564" s="4">
        <f t="shared" si="117"/>
        <v>24996225372.570801</v>
      </c>
      <c r="S564" s="4">
        <f t="shared" si="117"/>
        <v>-1249811268.6285419</v>
      </c>
      <c r="T564" s="3"/>
      <c r="U564" s="4">
        <f t="shared" si="115"/>
        <v>23634699.121800005</v>
      </c>
      <c r="V564">
        <f t="shared" si="116"/>
        <v>548522427267.13654</v>
      </c>
    </row>
    <row r="565" spans="1:22" x14ac:dyDescent="0.5">
      <c r="A565" s="3">
        <v>80</v>
      </c>
      <c r="B565" s="3">
        <v>0.56299615879999998</v>
      </c>
      <c r="C565" s="3">
        <v>5</v>
      </c>
      <c r="D565" s="3">
        <v>30</v>
      </c>
      <c r="E565" s="3">
        <v>5.5E-2</v>
      </c>
      <c r="F565" s="3">
        <f t="shared" si="109"/>
        <v>2.6120115584149359</v>
      </c>
      <c r="G565" s="5">
        <v>0.3</v>
      </c>
      <c r="H565" s="4">
        <v>15000000</v>
      </c>
      <c r="I565" s="4">
        <f t="shared" si="119"/>
        <v>8444942.3819999993</v>
      </c>
      <c r="J565" s="3">
        <v>210000000000</v>
      </c>
      <c r="K565" s="4">
        <f t="shared" si="120"/>
        <v>7.2466501085348189E-2</v>
      </c>
      <c r="L565" s="6">
        <f t="shared" si="110"/>
        <v>2.1739950325604456</v>
      </c>
      <c r="M565" s="4">
        <f t="shared" si="111"/>
        <v>6494530.559234743</v>
      </c>
      <c r="N565" s="4">
        <f t="shared" si="112"/>
        <v>974179583.88521147</v>
      </c>
      <c r="O565" s="4">
        <f t="shared" si="113"/>
        <v>292253875165.56342</v>
      </c>
      <c r="P565" s="4">
        <f t="shared" si="114"/>
        <v>-14612693758.278172</v>
      </c>
      <c r="Q565" s="4">
        <f t="shared" si="117"/>
        <v>80897198.293327451</v>
      </c>
      <c r="R565" s="4">
        <f t="shared" si="117"/>
        <v>24269159487.998291</v>
      </c>
      <c r="S565" s="4">
        <f t="shared" si="117"/>
        <v>-1213457974.3999119</v>
      </c>
      <c r="T565" s="3"/>
      <c r="U565" s="4">
        <f t="shared" si="115"/>
        <v>21956850.1932</v>
      </c>
      <c r="V565">
        <f t="shared" si="116"/>
        <v>548522427267.13654</v>
      </c>
    </row>
    <row r="566" spans="1:22" x14ac:dyDescent="0.5">
      <c r="A566" s="3">
        <v>80</v>
      </c>
      <c r="B566" s="3">
        <v>0.51895006379999997</v>
      </c>
      <c r="C566" s="3">
        <v>5</v>
      </c>
      <c r="D566" s="3">
        <v>30</v>
      </c>
      <c r="E566" s="3">
        <v>5.5E-2</v>
      </c>
      <c r="F566" s="3">
        <f t="shared" si="109"/>
        <v>2.6120115584149359</v>
      </c>
      <c r="G566" s="5">
        <v>0.3</v>
      </c>
      <c r="H566" s="4">
        <v>15000000</v>
      </c>
      <c r="I566" s="4">
        <f t="shared" si="119"/>
        <v>7784250.9569999995</v>
      </c>
      <c r="J566" s="3">
        <v>210000000000</v>
      </c>
      <c r="K566" s="4">
        <f t="shared" si="120"/>
        <v>7.2466501085348189E-2</v>
      </c>
      <c r="L566" s="6">
        <f t="shared" si="110"/>
        <v>2.1739950325604456</v>
      </c>
      <c r="M566" s="4">
        <f t="shared" si="111"/>
        <v>5945927.1068400042</v>
      </c>
      <c r="N566" s="4">
        <f t="shared" si="112"/>
        <v>891889066.02600062</v>
      </c>
      <c r="O566" s="4">
        <f t="shared" si="113"/>
        <v>267566719807.80017</v>
      </c>
      <c r="P566" s="4">
        <f t="shared" si="114"/>
        <v>-13378335990.390009</v>
      </c>
      <c r="Q566" s="4">
        <f t="shared" si="117"/>
        <v>82290517.859210849</v>
      </c>
      <c r="R566" s="4">
        <f t="shared" si="117"/>
        <v>24687155357.763245</v>
      </c>
      <c r="S566" s="4">
        <f t="shared" si="117"/>
        <v>-1234357767.8881626</v>
      </c>
      <c r="T566" s="3"/>
      <c r="U566" s="4">
        <f t="shared" si="115"/>
        <v>20239052.488199998</v>
      </c>
      <c r="V566">
        <f t="shared" si="116"/>
        <v>548522427267.13654</v>
      </c>
    </row>
    <row r="567" spans="1:22" x14ac:dyDescent="0.5">
      <c r="A567" s="3">
        <v>80</v>
      </c>
      <c r="B567" s="3">
        <v>0.47375160040000003</v>
      </c>
      <c r="C567" s="3">
        <v>5</v>
      </c>
      <c r="D567" s="3">
        <v>30</v>
      </c>
      <c r="E567" s="3">
        <v>5.5E-2</v>
      </c>
      <c r="F567" s="3">
        <f t="shared" si="109"/>
        <v>2.6120115584149359</v>
      </c>
      <c r="G567" s="5">
        <v>0.3</v>
      </c>
      <c r="H567" s="4">
        <v>15000000</v>
      </c>
      <c r="I567" s="4">
        <f t="shared" si="119"/>
        <v>7106274.0060000001</v>
      </c>
      <c r="J567" s="3">
        <v>210000000000</v>
      </c>
      <c r="K567" s="4">
        <f t="shared" si="120"/>
        <v>7.2466501085348189E-2</v>
      </c>
      <c r="L567" s="6">
        <f t="shared" si="110"/>
        <v>2.1739950325604456</v>
      </c>
      <c r="M567" s="4">
        <f t="shared" si="111"/>
        <v>5386997.7544354182</v>
      </c>
      <c r="N567" s="4">
        <f t="shared" si="112"/>
        <v>808049663.16531277</v>
      </c>
      <c r="O567" s="4">
        <f t="shared" si="113"/>
        <v>242414898949.59384</v>
      </c>
      <c r="P567" s="4">
        <f t="shared" si="114"/>
        <v>-12120744947.479692</v>
      </c>
      <c r="Q567" s="4">
        <f t="shared" si="117"/>
        <v>83839402.860687852</v>
      </c>
      <c r="R567" s="4">
        <f t="shared" si="117"/>
        <v>25151820858.206329</v>
      </c>
      <c r="S567" s="4">
        <f t="shared" si="117"/>
        <v>-1257591042.9103165</v>
      </c>
      <c r="T567" s="3"/>
      <c r="U567" s="4">
        <f t="shared" si="115"/>
        <v>18476312.415600002</v>
      </c>
      <c r="V567">
        <f t="shared" si="116"/>
        <v>548522427267.13654</v>
      </c>
    </row>
    <row r="568" spans="1:22" x14ac:dyDescent="0.5">
      <c r="A568" s="3">
        <v>80</v>
      </c>
      <c r="B568" s="3">
        <v>0.42483994899999999</v>
      </c>
      <c r="C568" s="3">
        <v>5</v>
      </c>
      <c r="D568" s="3">
        <v>30</v>
      </c>
      <c r="E568" s="3">
        <v>5.5E-2</v>
      </c>
      <c r="F568" s="3">
        <f t="shared" si="109"/>
        <v>2.6120115584149359</v>
      </c>
      <c r="G568" s="5">
        <v>0.3</v>
      </c>
      <c r="H568" s="4">
        <v>15000000</v>
      </c>
      <c r="I568" s="4">
        <f t="shared" si="119"/>
        <v>6372599.2350000003</v>
      </c>
      <c r="J568" s="3">
        <v>210000000000</v>
      </c>
      <c r="K568" s="4">
        <f t="shared" si="120"/>
        <v>7.2466501085348189E-2</v>
      </c>
      <c r="L568" s="6">
        <f t="shared" si="110"/>
        <v>2.1739950325604456</v>
      </c>
      <c r="M568" s="4">
        <f t="shared" si="111"/>
        <v>4787157.0339289</v>
      </c>
      <c r="N568" s="4">
        <f t="shared" si="112"/>
        <v>718073555.08933508</v>
      </c>
      <c r="O568" s="4">
        <f t="shared" si="113"/>
        <v>215422066526.80051</v>
      </c>
      <c r="P568" s="4">
        <f t="shared" si="114"/>
        <v>-10771103326.340025</v>
      </c>
      <c r="Q568" s="4">
        <f t="shared" si="117"/>
        <v>89976108.075977683</v>
      </c>
      <c r="R568" s="4">
        <f t="shared" si="117"/>
        <v>26992832422.793335</v>
      </c>
      <c r="S568" s="4">
        <f t="shared" si="117"/>
        <v>-1349641621.1396675</v>
      </c>
      <c r="T568" s="3"/>
      <c r="U568" s="4">
        <f t="shared" si="115"/>
        <v>16568758.011000002</v>
      </c>
      <c r="V568">
        <f t="shared" si="116"/>
        <v>548522427267.13654</v>
      </c>
    </row>
    <row r="569" spans="1:22" x14ac:dyDescent="0.5">
      <c r="A569" s="3">
        <v>80</v>
      </c>
      <c r="B569" s="3">
        <v>0.37400768220000002</v>
      </c>
      <c r="C569" s="3">
        <v>5</v>
      </c>
      <c r="D569" s="3">
        <v>30</v>
      </c>
      <c r="E569" s="3">
        <v>5.5E-2</v>
      </c>
      <c r="F569" s="3">
        <f t="shared" si="109"/>
        <v>2.6120115584149359</v>
      </c>
      <c r="G569" s="5">
        <v>0.3</v>
      </c>
      <c r="H569" s="4">
        <v>15000000</v>
      </c>
      <c r="I569" s="4">
        <f t="shared" si="119"/>
        <v>5610115.233</v>
      </c>
      <c r="J569" s="3">
        <v>210000000000</v>
      </c>
      <c r="K569" s="4">
        <f t="shared" si="120"/>
        <v>7.2466501085348189E-2</v>
      </c>
      <c r="L569" s="6">
        <f t="shared" si="110"/>
        <v>2.1739950325604456</v>
      </c>
      <c r="M569" s="4">
        <f t="shared" si="111"/>
        <v>4169853.3351247134</v>
      </c>
      <c r="N569" s="4">
        <f t="shared" si="112"/>
        <v>625478000.26870704</v>
      </c>
      <c r="O569" s="4">
        <f t="shared" si="113"/>
        <v>187643400080.61209</v>
      </c>
      <c r="P569" s="4">
        <f t="shared" si="114"/>
        <v>-9382170004.0306053</v>
      </c>
      <c r="Q569" s="4">
        <f t="shared" si="117"/>
        <v>92595554.820628047</v>
      </c>
      <c r="R569" s="4">
        <f t="shared" si="117"/>
        <v>27778666446.188416</v>
      </c>
      <c r="S569" s="4">
        <f t="shared" si="117"/>
        <v>-1388933322.3094196</v>
      </c>
      <c r="T569" s="3"/>
      <c r="U569" s="4">
        <f t="shared" si="115"/>
        <v>14586299.605800001</v>
      </c>
      <c r="V569">
        <f t="shared" si="116"/>
        <v>548522427267.13654</v>
      </c>
    </row>
    <row r="570" spans="1:22" x14ac:dyDescent="0.5">
      <c r="A570" s="3">
        <v>80</v>
      </c>
      <c r="B570" s="3">
        <v>0.32432778499999998</v>
      </c>
      <c r="C570" s="3">
        <v>5</v>
      </c>
      <c r="D570" s="3">
        <v>30</v>
      </c>
      <c r="E570" s="3">
        <v>5.5E-2</v>
      </c>
      <c r="F570" s="3">
        <f t="shared" si="109"/>
        <v>2.6120115584149359</v>
      </c>
      <c r="G570" s="5">
        <v>0.3</v>
      </c>
      <c r="H570" s="4">
        <v>15000000</v>
      </c>
      <c r="I570" s="4">
        <f t="shared" si="119"/>
        <v>4864916.7749999994</v>
      </c>
      <c r="J570" s="3">
        <v>210000000000</v>
      </c>
      <c r="K570" s="4">
        <f t="shared" si="120"/>
        <v>7.2466501085348189E-2</v>
      </c>
      <c r="L570" s="6">
        <f t="shared" si="110"/>
        <v>2.1739950325604456</v>
      </c>
      <c r="M570" s="4">
        <f t="shared" si="111"/>
        <v>3573274.5208425061</v>
      </c>
      <c r="N570" s="4">
        <f t="shared" si="112"/>
        <v>535991178.12637591</v>
      </c>
      <c r="O570" s="4">
        <f t="shared" si="113"/>
        <v>160797353437.91275</v>
      </c>
      <c r="P570" s="4">
        <f t="shared" si="114"/>
        <v>-8039867671.8956385</v>
      </c>
      <c r="Q570" s="4">
        <f t="shared" si="117"/>
        <v>89486822.142331123</v>
      </c>
      <c r="R570" s="4">
        <f t="shared" si="117"/>
        <v>26846046642.699341</v>
      </c>
      <c r="S570" s="4">
        <f t="shared" si="117"/>
        <v>-1342302332.1349669</v>
      </c>
      <c r="T570" s="3"/>
      <c r="U570" s="4">
        <f t="shared" si="115"/>
        <v>12648783.614999998</v>
      </c>
      <c r="V570">
        <f t="shared" si="116"/>
        <v>548522427267.13654</v>
      </c>
    </row>
    <row r="571" spans="1:22" x14ac:dyDescent="0.5">
      <c r="A571" s="3">
        <v>80</v>
      </c>
      <c r="B571" s="3">
        <v>0.26760563380000002</v>
      </c>
      <c r="C571" s="3">
        <v>5</v>
      </c>
      <c r="D571" s="3">
        <v>30</v>
      </c>
      <c r="E571" s="3">
        <v>5.5E-2</v>
      </c>
      <c r="F571" s="3">
        <f t="shared" si="109"/>
        <v>2.6120115584149359</v>
      </c>
      <c r="G571" s="5">
        <v>0.3</v>
      </c>
      <c r="H571" s="4">
        <v>15000000</v>
      </c>
      <c r="I571" s="4">
        <f t="shared" si="119"/>
        <v>4014084.5070000002</v>
      </c>
      <c r="J571" s="3">
        <v>210000000000</v>
      </c>
      <c r="K571" s="4">
        <f t="shared" si="120"/>
        <v>7.2466501085348189E-2</v>
      </c>
      <c r="L571" s="6">
        <f t="shared" si="110"/>
        <v>2.1739950325604456</v>
      </c>
      <c r="M571" s="4">
        <f t="shared" si="111"/>
        <v>2901483.266033296</v>
      </c>
      <c r="N571" s="4">
        <f t="shared" si="112"/>
        <v>435222489.90499437</v>
      </c>
      <c r="O571" s="4">
        <f t="shared" si="113"/>
        <v>130566746971.49831</v>
      </c>
      <c r="P571" s="4">
        <f t="shared" si="114"/>
        <v>-6528337348.5749159</v>
      </c>
      <c r="Q571" s="4">
        <f t="shared" si="117"/>
        <v>100768688.22138155</v>
      </c>
      <c r="R571" s="4">
        <f t="shared" si="117"/>
        <v>30230606466.414444</v>
      </c>
      <c r="S571" s="4">
        <f t="shared" si="117"/>
        <v>-1511530323.3207226</v>
      </c>
      <c r="T571" s="3"/>
      <c r="U571" s="4">
        <f t="shared" si="115"/>
        <v>10436619.7182</v>
      </c>
      <c r="V571">
        <f t="shared" si="116"/>
        <v>548522427267.13654</v>
      </c>
    </row>
    <row r="572" spans="1:22" x14ac:dyDescent="0.5">
      <c r="A572" s="3">
        <v>80</v>
      </c>
      <c r="B572" s="3">
        <v>0.224327785</v>
      </c>
      <c r="C572" s="3">
        <v>5</v>
      </c>
      <c r="D572" s="3">
        <v>30</v>
      </c>
      <c r="E572" s="3">
        <v>5.5E-2</v>
      </c>
      <c r="F572" s="3">
        <f t="shared" si="109"/>
        <v>2.6120115584149359</v>
      </c>
      <c r="G572" s="5">
        <v>0.3</v>
      </c>
      <c r="H572" s="4">
        <v>15000000</v>
      </c>
      <c r="I572" s="4">
        <f t="shared" si="119"/>
        <v>3364916.7749999999</v>
      </c>
      <c r="J572" s="3">
        <v>210000000000</v>
      </c>
      <c r="K572" s="4">
        <f t="shared" si="120"/>
        <v>7.2466501085348189E-2</v>
      </c>
      <c r="L572" s="6">
        <f t="shared" si="110"/>
        <v>2.1739950325604456</v>
      </c>
      <c r="M572" s="4">
        <f t="shared" si="111"/>
        <v>2396754.4226292805</v>
      </c>
      <c r="N572" s="4">
        <f t="shared" si="112"/>
        <v>359513163.39439207</v>
      </c>
      <c r="O572" s="4">
        <f t="shared" si="113"/>
        <v>107853949018.31763</v>
      </c>
      <c r="P572" s="4">
        <f t="shared" si="114"/>
        <v>-5392697450.9158812</v>
      </c>
      <c r="Q572" s="4">
        <f t="shared" si="117"/>
        <v>75709326.510602295</v>
      </c>
      <c r="R572" s="4">
        <f t="shared" si="117"/>
        <v>22712797953.180679</v>
      </c>
      <c r="S572" s="4">
        <f t="shared" si="117"/>
        <v>-1135639897.6590347</v>
      </c>
      <c r="T572" s="3"/>
      <c r="U572" s="4">
        <f t="shared" si="115"/>
        <v>8748783.6150000002</v>
      </c>
      <c r="V572">
        <f t="shared" si="116"/>
        <v>548522427267.13654</v>
      </c>
    </row>
    <row r="573" spans="1:22" x14ac:dyDescent="0.5">
      <c r="A573" s="3">
        <v>80</v>
      </c>
      <c r="B573" s="3">
        <v>0.18681177979999999</v>
      </c>
      <c r="C573" s="3">
        <v>5</v>
      </c>
      <c r="D573" s="3">
        <v>30</v>
      </c>
      <c r="E573" s="3">
        <v>5.5E-2</v>
      </c>
      <c r="F573" s="3">
        <f t="shared" si="109"/>
        <v>2.6120115584149359</v>
      </c>
      <c r="G573" s="5">
        <v>0.3</v>
      </c>
      <c r="H573" s="4">
        <v>15000000</v>
      </c>
      <c r="I573" s="4">
        <f t="shared" si="119"/>
        <v>2802176.6969999997</v>
      </c>
      <c r="J573" s="3">
        <v>210000000000</v>
      </c>
      <c r="K573" s="4">
        <f t="shared" si="120"/>
        <v>7.2466501085348189E-2</v>
      </c>
      <c r="L573" s="6">
        <f t="shared" si="110"/>
        <v>2.1739950325604456</v>
      </c>
      <c r="M573" s="4">
        <f t="shared" si="111"/>
        <v>1965719.2613644088</v>
      </c>
      <c r="N573" s="4">
        <f t="shared" si="112"/>
        <v>294857889.20466131</v>
      </c>
      <c r="O573" s="4">
        <f t="shared" si="113"/>
        <v>88457366761.398392</v>
      </c>
      <c r="P573" s="4">
        <f t="shared" si="114"/>
        <v>-4422868338.0699196</v>
      </c>
      <c r="Q573" s="4">
        <f t="shared" si="117"/>
        <v>64655274.189730763</v>
      </c>
      <c r="R573" s="4">
        <f t="shared" si="117"/>
        <v>19396582256.919235</v>
      </c>
      <c r="S573" s="4">
        <f t="shared" si="117"/>
        <v>-969829112.84596157</v>
      </c>
      <c r="T573" s="3"/>
      <c r="U573" s="4">
        <f t="shared" si="115"/>
        <v>7285659.4121999992</v>
      </c>
      <c r="V573">
        <f t="shared" si="116"/>
        <v>548522427267.13654</v>
      </c>
    </row>
    <row r="574" spans="1:22" x14ac:dyDescent="0.5">
      <c r="A574" s="3">
        <v>100</v>
      </c>
      <c r="B574" s="5">
        <v>1</v>
      </c>
      <c r="C574" s="3">
        <v>5</v>
      </c>
      <c r="D574" s="3">
        <v>35</v>
      </c>
      <c r="E574" s="3">
        <v>5.5E-2</v>
      </c>
      <c r="F574" s="3">
        <f t="shared" si="109"/>
        <v>2.6120115584149359</v>
      </c>
      <c r="G574" s="5">
        <v>0.3</v>
      </c>
      <c r="H574" s="4">
        <v>15000000</v>
      </c>
      <c r="I574" s="4">
        <f>B574*$H$574</f>
        <v>15000000</v>
      </c>
      <c r="J574" s="3">
        <v>210000000000</v>
      </c>
      <c r="K574" s="4">
        <f>(($M$574*C574)/(4*J574*F574))^(1/4)</f>
        <v>7.2466501085348189E-2</v>
      </c>
      <c r="L574" s="6">
        <f t="shared" si="110"/>
        <v>2.5363275379871868</v>
      </c>
      <c r="M574" s="4">
        <f t="shared" si="111"/>
        <v>12101342.336181734</v>
      </c>
      <c r="N574" s="4">
        <f t="shared" si="112"/>
        <v>834961130.65602887</v>
      </c>
      <c r="O574" s="4">
        <f t="shared" si="113"/>
        <v>79499002141.783539</v>
      </c>
      <c r="P574" s="4">
        <f t="shared" si="114"/>
        <v>-5761014524.9916544</v>
      </c>
      <c r="Q574" s="4">
        <f>N574</f>
        <v>834961130.65602887</v>
      </c>
      <c r="R574" s="4">
        <f t="shared" ref="R574:S574" si="121">O574</f>
        <v>79499002141.783539</v>
      </c>
      <c r="S574" s="4">
        <f t="shared" si="121"/>
        <v>-5761014524.9916544</v>
      </c>
      <c r="T574" s="3"/>
      <c r="U574" s="4">
        <f t="shared" si="115"/>
        <v>39000000</v>
      </c>
      <c r="V574">
        <f t="shared" si="116"/>
        <v>548522427267.13654</v>
      </c>
    </row>
    <row r="575" spans="1:22" x14ac:dyDescent="0.5">
      <c r="A575" s="3">
        <v>100</v>
      </c>
      <c r="B575" s="5">
        <v>1</v>
      </c>
      <c r="C575" s="3">
        <v>5</v>
      </c>
      <c r="D575" s="3">
        <v>35</v>
      </c>
      <c r="E575" s="3">
        <v>5.5E-2</v>
      </c>
      <c r="F575" s="3">
        <f t="shared" si="109"/>
        <v>2.6120115584149359</v>
      </c>
      <c r="G575" s="5">
        <v>0.3</v>
      </c>
      <c r="H575" s="4">
        <v>15000000</v>
      </c>
      <c r="I575" s="4">
        <f t="shared" ref="I575:I617" si="122">B575*$H$574</f>
        <v>15000000</v>
      </c>
      <c r="J575" s="3">
        <v>210000000000</v>
      </c>
      <c r="K575" s="4">
        <f t="shared" ref="K575:K617" si="123">(($M$574*C575)/(4*J575*F575))^(1/4)</f>
        <v>7.2466501085348189E-2</v>
      </c>
      <c r="L575" s="6">
        <f t="shared" si="110"/>
        <v>2.5363275379871868</v>
      </c>
      <c r="M575" s="4">
        <f t="shared" si="111"/>
        <v>12101342.336181734</v>
      </c>
      <c r="N575" s="4">
        <f t="shared" si="112"/>
        <v>834961130.65602887</v>
      </c>
      <c r="O575" s="4">
        <f t="shared" si="113"/>
        <v>79499002141.783539</v>
      </c>
      <c r="P575" s="4">
        <f t="shared" si="114"/>
        <v>-5761014524.9916544</v>
      </c>
      <c r="Q575" s="4">
        <f t="shared" si="117"/>
        <v>0</v>
      </c>
      <c r="R575" s="4">
        <f t="shared" si="117"/>
        <v>0</v>
      </c>
      <c r="S575" s="4">
        <f t="shared" si="117"/>
        <v>0</v>
      </c>
      <c r="T575" s="3"/>
      <c r="U575" s="4">
        <f t="shared" si="115"/>
        <v>39000000</v>
      </c>
      <c r="V575">
        <f t="shared" si="116"/>
        <v>548522427267.13654</v>
      </c>
    </row>
    <row r="576" spans="1:22" x14ac:dyDescent="0.5">
      <c r="A576" s="3">
        <v>100</v>
      </c>
      <c r="B576" s="5">
        <v>1</v>
      </c>
      <c r="C576" s="3">
        <v>5</v>
      </c>
      <c r="D576" s="3">
        <v>35</v>
      </c>
      <c r="E576" s="3">
        <v>5.5E-2</v>
      </c>
      <c r="F576" s="3">
        <f t="shared" si="109"/>
        <v>2.6120115584149359</v>
      </c>
      <c r="G576" s="5">
        <v>0.3</v>
      </c>
      <c r="H576" s="4">
        <v>15000000</v>
      </c>
      <c r="I576" s="4">
        <f t="shared" si="122"/>
        <v>15000000</v>
      </c>
      <c r="J576" s="3">
        <v>210000000000</v>
      </c>
      <c r="K576" s="4">
        <f t="shared" si="123"/>
        <v>7.2466501085348189E-2</v>
      </c>
      <c r="L576" s="6">
        <f t="shared" si="110"/>
        <v>2.5363275379871868</v>
      </c>
      <c r="M576" s="4">
        <f t="shared" si="111"/>
        <v>12101342.336181734</v>
      </c>
      <c r="N576" s="4">
        <f t="shared" si="112"/>
        <v>834961130.65602887</v>
      </c>
      <c r="O576" s="4">
        <f t="shared" si="113"/>
        <v>79499002141.783539</v>
      </c>
      <c r="P576" s="4">
        <f t="shared" si="114"/>
        <v>-5761014524.9916544</v>
      </c>
      <c r="Q576" s="4">
        <f t="shared" si="117"/>
        <v>0</v>
      </c>
      <c r="R576" s="4">
        <f t="shared" si="117"/>
        <v>0</v>
      </c>
      <c r="S576" s="4">
        <f t="shared" si="117"/>
        <v>0</v>
      </c>
      <c r="T576" s="3"/>
      <c r="U576" s="4">
        <f t="shared" si="115"/>
        <v>39000000</v>
      </c>
      <c r="V576">
        <f t="shared" si="116"/>
        <v>548522427267.13654</v>
      </c>
    </row>
    <row r="577" spans="1:22" x14ac:dyDescent="0.5">
      <c r="A577" s="3">
        <v>100</v>
      </c>
      <c r="B577" s="5">
        <v>1</v>
      </c>
      <c r="C577" s="3">
        <v>5</v>
      </c>
      <c r="D577" s="3">
        <v>35</v>
      </c>
      <c r="E577" s="3">
        <v>5.5E-2</v>
      </c>
      <c r="F577" s="3">
        <f t="shared" si="109"/>
        <v>2.6120115584149359</v>
      </c>
      <c r="G577" s="5">
        <v>0.3</v>
      </c>
      <c r="H577" s="4">
        <v>15000000</v>
      </c>
      <c r="I577" s="4">
        <f t="shared" si="122"/>
        <v>15000000</v>
      </c>
      <c r="J577" s="3">
        <v>210000000000</v>
      </c>
      <c r="K577" s="4">
        <f t="shared" si="123"/>
        <v>7.2466501085348189E-2</v>
      </c>
      <c r="L577" s="6">
        <f t="shared" si="110"/>
        <v>2.5363275379871868</v>
      </c>
      <c r="M577" s="4">
        <f t="shared" si="111"/>
        <v>12101342.336181734</v>
      </c>
      <c r="N577" s="4">
        <f t="shared" si="112"/>
        <v>834961130.65602887</v>
      </c>
      <c r="O577" s="4">
        <f t="shared" si="113"/>
        <v>79499002141.783539</v>
      </c>
      <c r="P577" s="4">
        <f t="shared" si="114"/>
        <v>-5761014524.9916544</v>
      </c>
      <c r="Q577" s="4">
        <f t="shared" si="117"/>
        <v>0</v>
      </c>
      <c r="R577" s="4">
        <f t="shared" si="117"/>
        <v>0</v>
      </c>
      <c r="S577" s="4">
        <f t="shared" si="117"/>
        <v>0</v>
      </c>
      <c r="T577" s="3"/>
      <c r="U577" s="4">
        <f t="shared" si="115"/>
        <v>39000000</v>
      </c>
      <c r="V577">
        <f t="shared" si="116"/>
        <v>548522427267.13654</v>
      </c>
    </row>
    <row r="578" spans="1:22" x14ac:dyDescent="0.5">
      <c r="A578" s="3">
        <v>100</v>
      </c>
      <c r="B578" s="5">
        <v>1</v>
      </c>
      <c r="C578" s="3">
        <v>5</v>
      </c>
      <c r="D578" s="3">
        <v>35</v>
      </c>
      <c r="E578" s="3">
        <v>5.5E-2</v>
      </c>
      <c r="F578" s="3">
        <f t="shared" si="109"/>
        <v>2.6120115584149359</v>
      </c>
      <c r="G578" s="5">
        <v>0.3</v>
      </c>
      <c r="H578" s="4">
        <v>15000000</v>
      </c>
      <c r="I578" s="4">
        <f t="shared" si="122"/>
        <v>15000000</v>
      </c>
      <c r="J578" s="3">
        <v>210000000000</v>
      </c>
      <c r="K578" s="4">
        <f t="shared" si="123"/>
        <v>7.2466501085348189E-2</v>
      </c>
      <c r="L578" s="6">
        <f t="shared" si="110"/>
        <v>2.5363275379871868</v>
      </c>
      <c r="M578" s="4">
        <f t="shared" si="111"/>
        <v>12101342.336181734</v>
      </c>
      <c r="N578" s="4">
        <f t="shared" si="112"/>
        <v>834961130.65602887</v>
      </c>
      <c r="O578" s="4">
        <f t="shared" si="113"/>
        <v>79499002141.783539</v>
      </c>
      <c r="P578" s="4">
        <f t="shared" si="114"/>
        <v>-5761014524.9916544</v>
      </c>
      <c r="Q578" s="4">
        <f t="shared" si="117"/>
        <v>0</v>
      </c>
      <c r="R578" s="4">
        <f t="shared" si="117"/>
        <v>0</v>
      </c>
      <c r="S578" s="4">
        <f t="shared" si="117"/>
        <v>0</v>
      </c>
      <c r="T578" s="3"/>
      <c r="U578" s="4">
        <f t="shared" si="115"/>
        <v>39000000</v>
      </c>
      <c r="V578">
        <f t="shared" si="116"/>
        <v>548522427267.13654</v>
      </c>
    </row>
    <row r="579" spans="1:22" x14ac:dyDescent="0.5">
      <c r="A579" s="3">
        <v>100</v>
      </c>
      <c r="B579" s="5">
        <v>1</v>
      </c>
      <c r="C579" s="3">
        <v>5</v>
      </c>
      <c r="D579" s="3">
        <v>35</v>
      </c>
      <c r="E579" s="3">
        <v>5.5E-2</v>
      </c>
      <c r="F579" s="3">
        <f t="shared" ref="F579:F642" si="124">(3.141592*((C579^4)-(C579-(2*E579))^4))/64</f>
        <v>2.6120115584149359</v>
      </c>
      <c r="G579" s="5">
        <v>0.3</v>
      </c>
      <c r="H579" s="4">
        <v>15000000</v>
      </c>
      <c r="I579" s="4">
        <f t="shared" si="122"/>
        <v>15000000</v>
      </c>
      <c r="J579" s="3">
        <v>210000000000</v>
      </c>
      <c r="K579" s="4">
        <f t="shared" si="123"/>
        <v>7.2466501085348189E-2</v>
      </c>
      <c r="L579" s="6">
        <f t="shared" ref="L579:L642" si="125">K579*D579</f>
        <v>2.5363275379871868</v>
      </c>
      <c r="M579" s="4">
        <f t="shared" ref="M579:M642" si="126">(0.65/C579)*(((2*U579*(1+G579)*C579^4)/(J579*F579))^(1/12))*((2*U579*(1+G579))/(1-G579^2))</f>
        <v>12101342.336181734</v>
      </c>
      <c r="N579" s="4">
        <f t="shared" ref="N579:N642" si="127">IF(L579&gt;=2.5,M579*C579/K579,M579*C579*D579)</f>
        <v>834961130.65602887</v>
      </c>
      <c r="O579" s="4">
        <f t="shared" ref="O579:O642" si="128">IF(L579&gt;=2.5,M579*C579/(2*K579^3),M579*C579*(D579^3)/3)</f>
        <v>79499002141.783539</v>
      </c>
      <c r="P579" s="4">
        <f t="shared" ref="P579:P642" si="129">IF(L579&gt;=2.5,-(M579*C579/(2*K579^2)),-(M579*C579*(D579^2)/2))</f>
        <v>-5761014524.9916544</v>
      </c>
      <c r="Q579" s="4">
        <f t="shared" si="117"/>
        <v>0</v>
      </c>
      <c r="R579" s="4">
        <f t="shared" si="117"/>
        <v>0</v>
      </c>
      <c r="S579" s="4">
        <f t="shared" si="117"/>
        <v>0</v>
      </c>
      <c r="T579" s="3"/>
      <c r="U579" s="4">
        <f t="shared" ref="U579:U642" si="130">2*I579*(G579+1)</f>
        <v>39000000</v>
      </c>
      <c r="V579">
        <f t="shared" ref="V579:V642" si="131">J579*F579</f>
        <v>548522427267.13654</v>
      </c>
    </row>
    <row r="580" spans="1:22" x14ac:dyDescent="0.5">
      <c r="A580" s="3">
        <v>100</v>
      </c>
      <c r="B580" s="5">
        <v>1</v>
      </c>
      <c r="C580" s="3">
        <v>5</v>
      </c>
      <c r="D580" s="3">
        <v>35</v>
      </c>
      <c r="E580" s="3">
        <v>5.5E-2</v>
      </c>
      <c r="F580" s="3">
        <f t="shared" si="124"/>
        <v>2.6120115584149359</v>
      </c>
      <c r="G580" s="5">
        <v>0.3</v>
      </c>
      <c r="H580" s="4">
        <v>15000000</v>
      </c>
      <c r="I580" s="4">
        <f t="shared" si="122"/>
        <v>15000000</v>
      </c>
      <c r="J580" s="3">
        <v>210000000000</v>
      </c>
      <c r="K580" s="4">
        <f t="shared" si="123"/>
        <v>7.2466501085348189E-2</v>
      </c>
      <c r="L580" s="6">
        <f t="shared" si="125"/>
        <v>2.5363275379871868</v>
      </c>
      <c r="M580" s="4">
        <f t="shared" si="126"/>
        <v>12101342.336181734</v>
      </c>
      <c r="N580" s="4">
        <f t="shared" si="127"/>
        <v>834961130.65602887</v>
      </c>
      <c r="O580" s="4">
        <f t="shared" si="128"/>
        <v>79499002141.783539</v>
      </c>
      <c r="P580" s="4">
        <f t="shared" si="129"/>
        <v>-5761014524.9916544</v>
      </c>
      <c r="Q580" s="4">
        <f t="shared" ref="Q580:S643" si="132">N579-N580</f>
        <v>0</v>
      </c>
      <c r="R580" s="4">
        <f t="shared" si="132"/>
        <v>0</v>
      </c>
      <c r="S580" s="4">
        <f t="shared" si="132"/>
        <v>0</v>
      </c>
      <c r="T580" s="3"/>
      <c r="U580" s="4">
        <f t="shared" si="130"/>
        <v>39000000</v>
      </c>
      <c r="V580">
        <f t="shared" si="131"/>
        <v>548522427267.13654</v>
      </c>
    </row>
    <row r="581" spans="1:22" x14ac:dyDescent="0.5">
      <c r="A581" s="3">
        <v>100</v>
      </c>
      <c r="B581" s="5">
        <v>1</v>
      </c>
      <c r="C581" s="3">
        <v>5</v>
      </c>
      <c r="D581" s="3">
        <v>35</v>
      </c>
      <c r="E581" s="3">
        <v>5.5E-2</v>
      </c>
      <c r="F581" s="3">
        <f t="shared" si="124"/>
        <v>2.6120115584149359</v>
      </c>
      <c r="G581" s="5">
        <v>0.3</v>
      </c>
      <c r="H581" s="4">
        <v>15000000</v>
      </c>
      <c r="I581" s="4">
        <f t="shared" si="122"/>
        <v>15000000</v>
      </c>
      <c r="J581" s="3">
        <v>210000000000</v>
      </c>
      <c r="K581" s="4">
        <f t="shared" si="123"/>
        <v>7.2466501085348189E-2</v>
      </c>
      <c r="L581" s="6">
        <f t="shared" si="125"/>
        <v>2.5363275379871868</v>
      </c>
      <c r="M581" s="4">
        <f t="shared" si="126"/>
        <v>12101342.336181734</v>
      </c>
      <c r="N581" s="4">
        <f t="shared" si="127"/>
        <v>834961130.65602887</v>
      </c>
      <c r="O581" s="4">
        <f t="shared" si="128"/>
        <v>79499002141.783539</v>
      </c>
      <c r="P581" s="4">
        <f t="shared" si="129"/>
        <v>-5761014524.9916544</v>
      </c>
      <c r="Q581" s="4">
        <f t="shared" si="132"/>
        <v>0</v>
      </c>
      <c r="R581" s="4">
        <f t="shared" si="132"/>
        <v>0</v>
      </c>
      <c r="S581" s="4">
        <f t="shared" si="132"/>
        <v>0</v>
      </c>
      <c r="T581" s="3"/>
      <c r="U581" s="4">
        <f t="shared" si="130"/>
        <v>39000000</v>
      </c>
      <c r="V581">
        <f t="shared" si="131"/>
        <v>548522427267.13654</v>
      </c>
    </row>
    <row r="582" spans="1:22" x14ac:dyDescent="0.5">
      <c r="A582" s="3">
        <v>100</v>
      </c>
      <c r="B582" s="5">
        <v>1</v>
      </c>
      <c r="C582" s="3">
        <v>5</v>
      </c>
      <c r="D582" s="3">
        <v>35</v>
      </c>
      <c r="E582" s="3">
        <v>5.5E-2</v>
      </c>
      <c r="F582" s="3">
        <f t="shared" si="124"/>
        <v>2.6120115584149359</v>
      </c>
      <c r="G582" s="5">
        <v>0.3</v>
      </c>
      <c r="H582" s="4">
        <v>15000000</v>
      </c>
      <c r="I582" s="4">
        <f t="shared" si="122"/>
        <v>15000000</v>
      </c>
      <c r="J582" s="3">
        <v>210000000000</v>
      </c>
      <c r="K582" s="4">
        <f t="shared" si="123"/>
        <v>7.2466501085348189E-2</v>
      </c>
      <c r="L582" s="6">
        <f t="shared" si="125"/>
        <v>2.5363275379871868</v>
      </c>
      <c r="M582" s="4">
        <f t="shared" si="126"/>
        <v>12101342.336181734</v>
      </c>
      <c r="N582" s="4">
        <f t="shared" si="127"/>
        <v>834961130.65602887</v>
      </c>
      <c r="O582" s="4">
        <f t="shared" si="128"/>
        <v>79499002141.783539</v>
      </c>
      <c r="P582" s="4">
        <f t="shared" si="129"/>
        <v>-5761014524.9916544</v>
      </c>
      <c r="Q582" s="4">
        <f t="shared" si="132"/>
        <v>0</v>
      </c>
      <c r="R582" s="4">
        <f t="shared" si="132"/>
        <v>0</v>
      </c>
      <c r="S582" s="4">
        <f t="shared" si="132"/>
        <v>0</v>
      </c>
      <c r="T582" s="3"/>
      <c r="U582" s="4">
        <f t="shared" si="130"/>
        <v>39000000</v>
      </c>
      <c r="V582">
        <f t="shared" si="131"/>
        <v>548522427267.13654</v>
      </c>
    </row>
    <row r="583" spans="1:22" x14ac:dyDescent="0.5">
      <c r="A583" s="3">
        <v>100</v>
      </c>
      <c r="B583" s="5">
        <v>1</v>
      </c>
      <c r="C583" s="3">
        <v>5</v>
      </c>
      <c r="D583" s="3">
        <v>35</v>
      </c>
      <c r="E583" s="3">
        <v>5.5E-2</v>
      </c>
      <c r="F583" s="3">
        <f t="shared" si="124"/>
        <v>2.6120115584149359</v>
      </c>
      <c r="G583" s="5">
        <v>0.3</v>
      </c>
      <c r="H583" s="4">
        <v>15000000</v>
      </c>
      <c r="I583" s="4">
        <f t="shared" si="122"/>
        <v>15000000</v>
      </c>
      <c r="J583" s="3">
        <v>210000000000</v>
      </c>
      <c r="K583" s="4">
        <f t="shared" si="123"/>
        <v>7.2466501085348189E-2</v>
      </c>
      <c r="L583" s="6">
        <f t="shared" si="125"/>
        <v>2.5363275379871868</v>
      </c>
      <c r="M583" s="4">
        <f t="shared" si="126"/>
        <v>12101342.336181734</v>
      </c>
      <c r="N583" s="4">
        <f t="shared" si="127"/>
        <v>834961130.65602887</v>
      </c>
      <c r="O583" s="4">
        <f t="shared" si="128"/>
        <v>79499002141.783539</v>
      </c>
      <c r="P583" s="4">
        <f t="shared" si="129"/>
        <v>-5761014524.9916544</v>
      </c>
      <c r="Q583" s="4">
        <f t="shared" si="132"/>
        <v>0</v>
      </c>
      <c r="R583" s="4">
        <f t="shared" si="132"/>
        <v>0</v>
      </c>
      <c r="S583" s="4">
        <f t="shared" si="132"/>
        <v>0</v>
      </c>
      <c r="T583" s="3"/>
      <c r="U583" s="4">
        <f t="shared" si="130"/>
        <v>39000000</v>
      </c>
      <c r="V583">
        <f t="shared" si="131"/>
        <v>548522427267.13654</v>
      </c>
    </row>
    <row r="584" spans="1:22" x14ac:dyDescent="0.5">
      <c r="A584" s="3">
        <v>100</v>
      </c>
      <c r="B584" s="5">
        <v>1</v>
      </c>
      <c r="C584" s="3">
        <v>5</v>
      </c>
      <c r="D584" s="3">
        <v>35</v>
      </c>
      <c r="E584" s="3">
        <v>5.5E-2</v>
      </c>
      <c r="F584" s="3">
        <f t="shared" si="124"/>
        <v>2.6120115584149359</v>
      </c>
      <c r="G584" s="5">
        <v>0.3</v>
      </c>
      <c r="H584" s="4">
        <v>15000000</v>
      </c>
      <c r="I584" s="4">
        <f t="shared" si="122"/>
        <v>15000000</v>
      </c>
      <c r="J584" s="3">
        <v>210000000000</v>
      </c>
      <c r="K584" s="4">
        <f t="shared" si="123"/>
        <v>7.2466501085348189E-2</v>
      </c>
      <c r="L584" s="6">
        <f t="shared" si="125"/>
        <v>2.5363275379871868</v>
      </c>
      <c r="M584" s="4">
        <f t="shared" si="126"/>
        <v>12101342.336181734</v>
      </c>
      <c r="N584" s="4">
        <f t="shared" si="127"/>
        <v>834961130.65602887</v>
      </c>
      <c r="O584" s="4">
        <f t="shared" si="128"/>
        <v>79499002141.783539</v>
      </c>
      <c r="P584" s="4">
        <f t="shared" si="129"/>
        <v>-5761014524.9916544</v>
      </c>
      <c r="Q584" s="4">
        <f t="shared" si="132"/>
        <v>0</v>
      </c>
      <c r="R584" s="4">
        <f t="shared" si="132"/>
        <v>0</v>
      </c>
      <c r="S584" s="4">
        <f t="shared" si="132"/>
        <v>0</v>
      </c>
      <c r="T584" s="3"/>
      <c r="U584" s="4">
        <f t="shared" si="130"/>
        <v>39000000</v>
      </c>
      <c r="V584">
        <f t="shared" si="131"/>
        <v>548522427267.13654</v>
      </c>
    </row>
    <row r="585" spans="1:22" x14ac:dyDescent="0.5">
      <c r="A585" s="3">
        <v>100</v>
      </c>
      <c r="B585" s="5">
        <v>1</v>
      </c>
      <c r="C585" s="3">
        <v>5</v>
      </c>
      <c r="D585" s="3">
        <v>35</v>
      </c>
      <c r="E585" s="3">
        <v>5.5E-2</v>
      </c>
      <c r="F585" s="3">
        <f t="shared" si="124"/>
        <v>2.6120115584149359</v>
      </c>
      <c r="G585" s="5">
        <v>0.3</v>
      </c>
      <c r="H585" s="4">
        <v>15000000</v>
      </c>
      <c r="I585" s="4">
        <f t="shared" si="122"/>
        <v>15000000</v>
      </c>
      <c r="J585" s="3">
        <v>210000000000</v>
      </c>
      <c r="K585" s="4">
        <f t="shared" si="123"/>
        <v>7.2466501085348189E-2</v>
      </c>
      <c r="L585" s="6">
        <f t="shared" si="125"/>
        <v>2.5363275379871868</v>
      </c>
      <c r="M585" s="4">
        <f t="shared" si="126"/>
        <v>12101342.336181734</v>
      </c>
      <c r="N585" s="4">
        <f t="shared" si="127"/>
        <v>834961130.65602887</v>
      </c>
      <c r="O585" s="4">
        <f t="shared" si="128"/>
        <v>79499002141.783539</v>
      </c>
      <c r="P585" s="4">
        <f t="shared" si="129"/>
        <v>-5761014524.9916544</v>
      </c>
      <c r="Q585" s="4">
        <f t="shared" si="132"/>
        <v>0</v>
      </c>
      <c r="R585" s="4">
        <f t="shared" si="132"/>
        <v>0</v>
      </c>
      <c r="S585" s="4">
        <f t="shared" si="132"/>
        <v>0</v>
      </c>
      <c r="T585" s="3"/>
      <c r="U585" s="4">
        <f t="shared" si="130"/>
        <v>39000000</v>
      </c>
      <c r="V585">
        <f t="shared" si="131"/>
        <v>548522427267.13654</v>
      </c>
    </row>
    <row r="586" spans="1:22" x14ac:dyDescent="0.5">
      <c r="A586" s="3">
        <v>100</v>
      </c>
      <c r="B586" s="5">
        <v>1</v>
      </c>
      <c r="C586" s="3">
        <v>5</v>
      </c>
      <c r="D586" s="3">
        <v>35</v>
      </c>
      <c r="E586" s="3">
        <v>5.5E-2</v>
      </c>
      <c r="F586" s="3">
        <f t="shared" si="124"/>
        <v>2.6120115584149359</v>
      </c>
      <c r="G586" s="5">
        <v>0.3</v>
      </c>
      <c r="H586" s="4">
        <v>15000000</v>
      </c>
      <c r="I586" s="4">
        <f t="shared" si="122"/>
        <v>15000000</v>
      </c>
      <c r="J586" s="3">
        <v>210000000000</v>
      </c>
      <c r="K586" s="4">
        <f t="shared" si="123"/>
        <v>7.2466501085348189E-2</v>
      </c>
      <c r="L586" s="6">
        <f t="shared" si="125"/>
        <v>2.5363275379871868</v>
      </c>
      <c r="M586" s="4">
        <f t="shared" si="126"/>
        <v>12101342.336181734</v>
      </c>
      <c r="N586" s="4">
        <f t="shared" si="127"/>
        <v>834961130.65602887</v>
      </c>
      <c r="O586" s="4">
        <f t="shared" si="128"/>
        <v>79499002141.783539</v>
      </c>
      <c r="P586" s="4">
        <f t="shared" si="129"/>
        <v>-5761014524.9916544</v>
      </c>
      <c r="Q586" s="4">
        <f t="shared" si="132"/>
        <v>0</v>
      </c>
      <c r="R586" s="4">
        <f t="shared" si="132"/>
        <v>0</v>
      </c>
      <c r="S586" s="4">
        <f t="shared" si="132"/>
        <v>0</v>
      </c>
      <c r="T586" s="3"/>
      <c r="U586" s="4">
        <f t="shared" si="130"/>
        <v>39000000</v>
      </c>
      <c r="V586">
        <f t="shared" si="131"/>
        <v>548522427267.13654</v>
      </c>
    </row>
    <row r="587" spans="1:22" x14ac:dyDescent="0.5">
      <c r="A587" s="3">
        <v>100</v>
      </c>
      <c r="B587" s="5">
        <v>1</v>
      </c>
      <c r="C587" s="3">
        <v>5</v>
      </c>
      <c r="D587" s="3">
        <v>35</v>
      </c>
      <c r="E587" s="3">
        <v>5.5E-2</v>
      </c>
      <c r="F587" s="3">
        <f t="shared" si="124"/>
        <v>2.6120115584149359</v>
      </c>
      <c r="G587" s="5">
        <v>0.3</v>
      </c>
      <c r="H587" s="4">
        <v>15000000</v>
      </c>
      <c r="I587" s="4">
        <f t="shared" si="122"/>
        <v>15000000</v>
      </c>
      <c r="J587" s="3">
        <v>210000000000</v>
      </c>
      <c r="K587" s="4">
        <f t="shared" si="123"/>
        <v>7.2466501085348189E-2</v>
      </c>
      <c r="L587" s="6">
        <f t="shared" si="125"/>
        <v>2.5363275379871868</v>
      </c>
      <c r="M587" s="4">
        <f t="shared" si="126"/>
        <v>12101342.336181734</v>
      </c>
      <c r="N587" s="4">
        <f t="shared" si="127"/>
        <v>834961130.65602887</v>
      </c>
      <c r="O587" s="4">
        <f t="shared" si="128"/>
        <v>79499002141.783539</v>
      </c>
      <c r="P587" s="4">
        <f t="shared" si="129"/>
        <v>-5761014524.9916544</v>
      </c>
      <c r="Q587" s="4">
        <f t="shared" si="132"/>
        <v>0</v>
      </c>
      <c r="R587" s="4">
        <f t="shared" si="132"/>
        <v>0</v>
      </c>
      <c r="S587" s="4">
        <f t="shared" si="132"/>
        <v>0</v>
      </c>
      <c r="T587" s="3"/>
      <c r="U587" s="4">
        <f t="shared" si="130"/>
        <v>39000000</v>
      </c>
      <c r="V587">
        <f t="shared" si="131"/>
        <v>548522427267.13654</v>
      </c>
    </row>
    <row r="588" spans="1:22" x14ac:dyDescent="0.5">
      <c r="A588" s="3">
        <v>100</v>
      </c>
      <c r="B588" s="5">
        <v>1</v>
      </c>
      <c r="C588" s="3">
        <v>5</v>
      </c>
      <c r="D588" s="3">
        <v>35</v>
      </c>
      <c r="E588" s="3">
        <v>5.5E-2</v>
      </c>
      <c r="F588" s="3">
        <f t="shared" si="124"/>
        <v>2.6120115584149359</v>
      </c>
      <c r="G588" s="5">
        <v>0.3</v>
      </c>
      <c r="H588" s="4">
        <v>15000000</v>
      </c>
      <c r="I588" s="4">
        <f t="shared" si="122"/>
        <v>15000000</v>
      </c>
      <c r="J588" s="3">
        <v>210000000000</v>
      </c>
      <c r="K588" s="4">
        <f t="shared" si="123"/>
        <v>7.2466501085348189E-2</v>
      </c>
      <c r="L588" s="6">
        <f t="shared" si="125"/>
        <v>2.5363275379871868</v>
      </c>
      <c r="M588" s="4">
        <f t="shared" si="126"/>
        <v>12101342.336181734</v>
      </c>
      <c r="N588" s="4">
        <f t="shared" si="127"/>
        <v>834961130.65602887</v>
      </c>
      <c r="O588" s="4">
        <f t="shared" si="128"/>
        <v>79499002141.783539</v>
      </c>
      <c r="P588" s="4">
        <f t="shared" si="129"/>
        <v>-5761014524.9916544</v>
      </c>
      <c r="Q588" s="4">
        <f t="shared" si="132"/>
        <v>0</v>
      </c>
      <c r="R588" s="4">
        <f t="shared" si="132"/>
        <v>0</v>
      </c>
      <c r="S588" s="4">
        <f t="shared" si="132"/>
        <v>0</v>
      </c>
      <c r="T588" s="3"/>
      <c r="U588" s="4">
        <f t="shared" si="130"/>
        <v>39000000</v>
      </c>
      <c r="V588">
        <f t="shared" si="131"/>
        <v>548522427267.13654</v>
      </c>
    </row>
    <row r="589" spans="1:22" x14ac:dyDescent="0.5">
      <c r="A589" s="3">
        <v>100</v>
      </c>
      <c r="B589" s="5">
        <v>1</v>
      </c>
      <c r="C589" s="3">
        <v>5</v>
      </c>
      <c r="D589" s="3">
        <v>35</v>
      </c>
      <c r="E589" s="3">
        <v>5.5E-2</v>
      </c>
      <c r="F589" s="3">
        <f t="shared" si="124"/>
        <v>2.6120115584149359</v>
      </c>
      <c r="G589" s="5">
        <v>0.3</v>
      </c>
      <c r="H589" s="4">
        <v>15000000</v>
      </c>
      <c r="I589" s="4">
        <f t="shared" si="122"/>
        <v>15000000</v>
      </c>
      <c r="J589" s="3">
        <v>210000000000</v>
      </c>
      <c r="K589" s="4">
        <f t="shared" si="123"/>
        <v>7.2466501085348189E-2</v>
      </c>
      <c r="L589" s="6">
        <f t="shared" si="125"/>
        <v>2.5363275379871868</v>
      </c>
      <c r="M589" s="4">
        <f t="shared" si="126"/>
        <v>12101342.336181734</v>
      </c>
      <c r="N589" s="4">
        <f t="shared" si="127"/>
        <v>834961130.65602887</v>
      </c>
      <c r="O589" s="4">
        <f t="shared" si="128"/>
        <v>79499002141.783539</v>
      </c>
      <c r="P589" s="4">
        <f t="shared" si="129"/>
        <v>-5761014524.9916544</v>
      </c>
      <c r="Q589" s="4">
        <f t="shared" si="132"/>
        <v>0</v>
      </c>
      <c r="R589" s="4">
        <f t="shared" si="132"/>
        <v>0</v>
      </c>
      <c r="S589" s="4">
        <f t="shared" si="132"/>
        <v>0</v>
      </c>
      <c r="T589" s="3"/>
      <c r="U589" s="4">
        <f t="shared" si="130"/>
        <v>39000000</v>
      </c>
      <c r="V589">
        <f t="shared" si="131"/>
        <v>548522427267.13654</v>
      </c>
    </row>
    <row r="590" spans="1:22" x14ac:dyDescent="0.5">
      <c r="A590" s="3">
        <v>100</v>
      </c>
      <c r="B590" s="5">
        <v>1</v>
      </c>
      <c r="C590" s="3">
        <v>5</v>
      </c>
      <c r="D590" s="3">
        <v>35</v>
      </c>
      <c r="E590" s="3">
        <v>5.5E-2</v>
      </c>
      <c r="F590" s="3">
        <f t="shared" si="124"/>
        <v>2.6120115584149359</v>
      </c>
      <c r="G590" s="5">
        <v>0.3</v>
      </c>
      <c r="H590" s="4">
        <v>15000000</v>
      </c>
      <c r="I590" s="4">
        <f t="shared" si="122"/>
        <v>15000000</v>
      </c>
      <c r="J590" s="3">
        <v>210000000000</v>
      </c>
      <c r="K590" s="4">
        <f t="shared" si="123"/>
        <v>7.2466501085348189E-2</v>
      </c>
      <c r="L590" s="6">
        <f t="shared" si="125"/>
        <v>2.5363275379871868</v>
      </c>
      <c r="M590" s="4">
        <f t="shared" si="126"/>
        <v>12101342.336181734</v>
      </c>
      <c r="N590" s="4">
        <f t="shared" si="127"/>
        <v>834961130.65602887</v>
      </c>
      <c r="O590" s="4">
        <f t="shared" si="128"/>
        <v>79499002141.783539</v>
      </c>
      <c r="P590" s="4">
        <f t="shared" si="129"/>
        <v>-5761014524.9916544</v>
      </c>
      <c r="Q590" s="4">
        <f t="shared" si="132"/>
        <v>0</v>
      </c>
      <c r="R590" s="4">
        <f t="shared" si="132"/>
        <v>0</v>
      </c>
      <c r="S590" s="4">
        <f t="shared" si="132"/>
        <v>0</v>
      </c>
      <c r="T590" s="3"/>
      <c r="U590" s="4">
        <f t="shared" si="130"/>
        <v>39000000</v>
      </c>
      <c r="V590">
        <f t="shared" si="131"/>
        <v>548522427267.13654</v>
      </c>
    </row>
    <row r="591" spans="1:22" x14ac:dyDescent="0.5">
      <c r="A591" s="3">
        <v>100</v>
      </c>
      <c r="B591" s="5">
        <v>1</v>
      </c>
      <c r="C591" s="3">
        <v>5</v>
      </c>
      <c r="D591" s="3">
        <v>35</v>
      </c>
      <c r="E591" s="3">
        <v>5.5E-2</v>
      </c>
      <c r="F591" s="3">
        <f t="shared" si="124"/>
        <v>2.6120115584149359</v>
      </c>
      <c r="G591" s="5">
        <v>0.3</v>
      </c>
      <c r="H591" s="4">
        <v>15000000</v>
      </c>
      <c r="I591" s="4">
        <f t="shared" si="122"/>
        <v>15000000</v>
      </c>
      <c r="J591" s="3">
        <v>210000000000</v>
      </c>
      <c r="K591" s="4">
        <f t="shared" si="123"/>
        <v>7.2466501085348189E-2</v>
      </c>
      <c r="L591" s="6">
        <f t="shared" si="125"/>
        <v>2.5363275379871868</v>
      </c>
      <c r="M591" s="4">
        <f t="shared" si="126"/>
        <v>12101342.336181734</v>
      </c>
      <c r="N591" s="4">
        <f t="shared" si="127"/>
        <v>834961130.65602887</v>
      </c>
      <c r="O591" s="4">
        <f t="shared" si="128"/>
        <v>79499002141.783539</v>
      </c>
      <c r="P591" s="4">
        <f t="shared" si="129"/>
        <v>-5761014524.9916544</v>
      </c>
      <c r="Q591" s="4">
        <f t="shared" si="132"/>
        <v>0</v>
      </c>
      <c r="R591" s="4">
        <f t="shared" si="132"/>
        <v>0</v>
      </c>
      <c r="S591" s="4">
        <f t="shared" si="132"/>
        <v>0</v>
      </c>
      <c r="T591" s="3"/>
      <c r="U591" s="4">
        <f t="shared" si="130"/>
        <v>39000000</v>
      </c>
      <c r="V591">
        <f t="shared" si="131"/>
        <v>548522427267.13654</v>
      </c>
    </row>
    <row r="592" spans="1:22" x14ac:dyDescent="0.5">
      <c r="A592" s="3">
        <v>100</v>
      </c>
      <c r="B592" s="3">
        <v>0.99935979500000005</v>
      </c>
      <c r="C592" s="3">
        <v>5</v>
      </c>
      <c r="D592" s="3">
        <v>35</v>
      </c>
      <c r="E592" s="3">
        <v>5.5E-2</v>
      </c>
      <c r="F592" s="3">
        <f t="shared" si="124"/>
        <v>2.6120115584149359</v>
      </c>
      <c r="G592" s="5">
        <v>0.3</v>
      </c>
      <c r="H592" s="4">
        <v>15000000</v>
      </c>
      <c r="I592" s="4">
        <f t="shared" si="122"/>
        <v>14990396.925000001</v>
      </c>
      <c r="J592" s="3">
        <v>210000000000</v>
      </c>
      <c r="K592" s="4">
        <f t="shared" si="123"/>
        <v>7.2466501085348189E-2</v>
      </c>
      <c r="L592" s="6">
        <f t="shared" si="125"/>
        <v>2.5363275379871868</v>
      </c>
      <c r="M592" s="4">
        <f t="shared" si="126"/>
        <v>12092949.608583078</v>
      </c>
      <c r="N592" s="4">
        <f t="shared" si="127"/>
        <v>834382054.29157388</v>
      </c>
      <c r="O592" s="4">
        <f t="shared" si="128"/>
        <v>79443866649.306305</v>
      </c>
      <c r="P592" s="4">
        <f t="shared" si="129"/>
        <v>-5757019048.7662125</v>
      </c>
      <c r="Q592" s="4">
        <f t="shared" si="132"/>
        <v>579076.36445498466</v>
      </c>
      <c r="R592" s="4">
        <f t="shared" si="132"/>
        <v>55135492.477233887</v>
      </c>
      <c r="S592" s="4">
        <f t="shared" si="132"/>
        <v>-3995476.2254419327</v>
      </c>
      <c r="T592" s="3"/>
      <c r="U592" s="4">
        <f t="shared" si="130"/>
        <v>38975032.005000003</v>
      </c>
      <c r="V592">
        <f t="shared" si="131"/>
        <v>548522427267.13654</v>
      </c>
    </row>
    <row r="593" spans="1:22" x14ac:dyDescent="0.5">
      <c r="A593" s="3">
        <v>100</v>
      </c>
      <c r="B593" s="3">
        <v>0.99359795100000003</v>
      </c>
      <c r="C593" s="3">
        <v>5</v>
      </c>
      <c r="D593" s="3">
        <v>35</v>
      </c>
      <c r="E593" s="3">
        <v>5.5E-2</v>
      </c>
      <c r="F593" s="3">
        <f t="shared" si="124"/>
        <v>2.6120115584149359</v>
      </c>
      <c r="G593" s="5">
        <v>0.3</v>
      </c>
      <c r="H593" s="4">
        <v>15000000</v>
      </c>
      <c r="I593" s="4">
        <f t="shared" si="122"/>
        <v>14903969.265000001</v>
      </c>
      <c r="J593" s="3">
        <v>210000000000</v>
      </c>
      <c r="K593" s="4">
        <f t="shared" si="123"/>
        <v>7.2466501085348189E-2</v>
      </c>
      <c r="L593" s="6">
        <f t="shared" si="125"/>
        <v>2.5363275379871868</v>
      </c>
      <c r="M593" s="4">
        <f t="shared" si="126"/>
        <v>12017435.266326176</v>
      </c>
      <c r="N593" s="4">
        <f t="shared" si="127"/>
        <v>829171761.18193662</v>
      </c>
      <c r="O593" s="4">
        <f t="shared" si="128"/>
        <v>78947779959.909241</v>
      </c>
      <c r="P593" s="4">
        <f t="shared" si="129"/>
        <v>-5721069382.1505938</v>
      </c>
      <c r="Q593" s="4">
        <f t="shared" si="132"/>
        <v>5210293.1096372604</v>
      </c>
      <c r="R593" s="4">
        <f t="shared" si="132"/>
        <v>496086689.39706421</v>
      </c>
      <c r="S593" s="4">
        <f t="shared" si="132"/>
        <v>-35949666.615618706</v>
      </c>
      <c r="T593" s="3"/>
      <c r="U593" s="4">
        <f t="shared" si="130"/>
        <v>38750320.089000002</v>
      </c>
      <c r="V593">
        <f t="shared" si="131"/>
        <v>548522427267.13654</v>
      </c>
    </row>
    <row r="594" spans="1:22" x14ac:dyDescent="0.5">
      <c r="A594" s="3">
        <v>100</v>
      </c>
      <c r="B594" s="3">
        <v>0.98655569799999998</v>
      </c>
      <c r="C594" s="3">
        <v>5</v>
      </c>
      <c r="D594" s="3">
        <v>35</v>
      </c>
      <c r="E594" s="3">
        <v>5.5E-2</v>
      </c>
      <c r="F594" s="3">
        <f t="shared" si="124"/>
        <v>2.6120115584149359</v>
      </c>
      <c r="G594" s="5">
        <v>0.3</v>
      </c>
      <c r="H594" s="4">
        <v>15000000</v>
      </c>
      <c r="I594" s="4">
        <f t="shared" si="122"/>
        <v>14798335.469999999</v>
      </c>
      <c r="J594" s="3">
        <v>210000000000</v>
      </c>
      <c r="K594" s="4">
        <f t="shared" si="123"/>
        <v>7.2466501085348189E-2</v>
      </c>
      <c r="L594" s="6">
        <f t="shared" si="125"/>
        <v>2.5363275379871868</v>
      </c>
      <c r="M594" s="4">
        <f t="shared" si="126"/>
        <v>11925189.534367569</v>
      </c>
      <c r="N594" s="4">
        <f t="shared" si="127"/>
        <v>822807045.72189498</v>
      </c>
      <c r="O594" s="4">
        <f t="shared" si="128"/>
        <v>78341777465.407333</v>
      </c>
      <c r="P594" s="4">
        <f t="shared" si="129"/>
        <v>-5677154501.7250471</v>
      </c>
      <c r="Q594" s="4">
        <f t="shared" si="132"/>
        <v>6364715.4600416422</v>
      </c>
      <c r="R594" s="4">
        <f t="shared" si="132"/>
        <v>606002494.50190735</v>
      </c>
      <c r="S594" s="4">
        <f t="shared" si="132"/>
        <v>-43914880.425546646</v>
      </c>
      <c r="T594" s="3"/>
      <c r="U594" s="4">
        <f t="shared" si="130"/>
        <v>38475672.221999995</v>
      </c>
      <c r="V594">
        <f t="shared" si="131"/>
        <v>548522427267.13654</v>
      </c>
    </row>
    <row r="595" spans="1:22" x14ac:dyDescent="0.5">
      <c r="A595" s="3">
        <v>100</v>
      </c>
      <c r="B595" s="3">
        <v>0.97823303500000003</v>
      </c>
      <c r="C595" s="3">
        <v>5</v>
      </c>
      <c r="D595" s="3">
        <v>35</v>
      </c>
      <c r="E595" s="3">
        <v>5.5E-2</v>
      </c>
      <c r="F595" s="3">
        <f t="shared" si="124"/>
        <v>2.6120115584149359</v>
      </c>
      <c r="G595" s="5">
        <v>0.3</v>
      </c>
      <c r="H595" s="4">
        <v>15000000</v>
      </c>
      <c r="I595" s="4">
        <f t="shared" si="122"/>
        <v>14673495.525</v>
      </c>
      <c r="J595" s="3">
        <v>210000000000</v>
      </c>
      <c r="K595" s="4">
        <f t="shared" si="123"/>
        <v>7.2466501085348189E-2</v>
      </c>
      <c r="L595" s="6">
        <f t="shared" si="125"/>
        <v>2.5363275379871868</v>
      </c>
      <c r="M595" s="4">
        <f t="shared" si="126"/>
        <v>11816242.598844673</v>
      </c>
      <c r="N595" s="4">
        <f t="shared" si="127"/>
        <v>815289990.67637956</v>
      </c>
      <c r="O595" s="4">
        <f t="shared" si="128"/>
        <v>77626057471.718765</v>
      </c>
      <c r="P595" s="4">
        <f t="shared" si="129"/>
        <v>-5625288778.0256081</v>
      </c>
      <c r="Q595" s="4">
        <f t="shared" si="132"/>
        <v>7517055.0455154181</v>
      </c>
      <c r="R595" s="4">
        <f t="shared" si="132"/>
        <v>715719993.68856812</v>
      </c>
      <c r="S595" s="4">
        <f t="shared" si="132"/>
        <v>-51865723.699439049</v>
      </c>
      <c r="T595" s="3"/>
      <c r="U595" s="4">
        <f t="shared" si="130"/>
        <v>38151088.365000002</v>
      </c>
      <c r="V595">
        <f t="shared" si="131"/>
        <v>548522427267.13654</v>
      </c>
    </row>
    <row r="596" spans="1:22" x14ac:dyDescent="0.5">
      <c r="A596" s="3">
        <v>100</v>
      </c>
      <c r="B596" s="3">
        <v>0.96862996199999996</v>
      </c>
      <c r="C596" s="3">
        <v>5</v>
      </c>
      <c r="D596" s="3">
        <v>35</v>
      </c>
      <c r="E596" s="3">
        <v>5.5E-2</v>
      </c>
      <c r="F596" s="3">
        <f t="shared" si="124"/>
        <v>2.6120115584149359</v>
      </c>
      <c r="G596" s="5">
        <v>0.3</v>
      </c>
      <c r="H596" s="4">
        <v>15000000</v>
      </c>
      <c r="I596" s="4">
        <f t="shared" si="122"/>
        <v>14529449.43</v>
      </c>
      <c r="J596" s="3">
        <v>210000000000</v>
      </c>
      <c r="K596" s="4">
        <f t="shared" si="123"/>
        <v>7.2466501085348189E-2</v>
      </c>
      <c r="L596" s="6">
        <f t="shared" si="125"/>
        <v>2.5363275379871868</v>
      </c>
      <c r="M596" s="4">
        <f t="shared" si="126"/>
        <v>11690630.579181094</v>
      </c>
      <c r="N596" s="4">
        <f t="shared" si="127"/>
        <v>806623088.19162726</v>
      </c>
      <c r="O596" s="4">
        <f t="shared" si="128"/>
        <v>76800857263.109543</v>
      </c>
      <c r="P596" s="4">
        <f t="shared" si="129"/>
        <v>-5565489406.2127981</v>
      </c>
      <c r="Q596" s="4">
        <f t="shared" si="132"/>
        <v>8666902.4847522974</v>
      </c>
      <c r="R596" s="4">
        <f t="shared" si="132"/>
        <v>825200208.60922241</v>
      </c>
      <c r="S596" s="4">
        <f t="shared" si="132"/>
        <v>-59799371.812809944</v>
      </c>
      <c r="T596" s="3"/>
      <c r="U596" s="4">
        <f t="shared" si="130"/>
        <v>37776568.517999999</v>
      </c>
      <c r="V596">
        <f t="shared" si="131"/>
        <v>548522427267.13654</v>
      </c>
    </row>
    <row r="597" spans="1:22" x14ac:dyDescent="0.5">
      <c r="A597" s="3">
        <v>100</v>
      </c>
      <c r="B597" s="3">
        <v>0.95838668400000004</v>
      </c>
      <c r="C597" s="3">
        <v>5</v>
      </c>
      <c r="D597" s="3">
        <v>35</v>
      </c>
      <c r="E597" s="3">
        <v>5.5E-2</v>
      </c>
      <c r="F597" s="3">
        <f t="shared" si="124"/>
        <v>2.6120115584149359</v>
      </c>
      <c r="G597" s="5">
        <v>0.3</v>
      </c>
      <c r="H597" s="4">
        <v>15000000</v>
      </c>
      <c r="I597" s="4">
        <f t="shared" si="122"/>
        <v>14375800.26</v>
      </c>
      <c r="J597" s="3">
        <v>210000000000</v>
      </c>
      <c r="K597" s="4">
        <f t="shared" si="123"/>
        <v>7.2466501085348189E-2</v>
      </c>
      <c r="L597" s="6">
        <f t="shared" si="125"/>
        <v>2.5363275379871868</v>
      </c>
      <c r="M597" s="4">
        <f t="shared" si="126"/>
        <v>11556758.786521362</v>
      </c>
      <c r="N597" s="4">
        <f t="shared" si="127"/>
        <v>797386282.86401367</v>
      </c>
      <c r="O597" s="4">
        <f t="shared" si="128"/>
        <v>75921394998.864685</v>
      </c>
      <c r="P597" s="4">
        <f t="shared" si="129"/>
        <v>-5501757853.0863771</v>
      </c>
      <c r="Q597" s="4">
        <f t="shared" si="132"/>
        <v>9236805.3276135921</v>
      </c>
      <c r="R597" s="4">
        <f t="shared" si="132"/>
        <v>879462264.24485779</v>
      </c>
      <c r="S597" s="4">
        <f t="shared" si="132"/>
        <v>-63731553.126420975</v>
      </c>
      <c r="T597" s="3"/>
      <c r="U597" s="4">
        <f t="shared" si="130"/>
        <v>37377080.675999999</v>
      </c>
      <c r="V597">
        <f t="shared" si="131"/>
        <v>548522427267.13654</v>
      </c>
    </row>
    <row r="598" spans="1:22" x14ac:dyDescent="0.5">
      <c r="A598" s="3">
        <v>100</v>
      </c>
      <c r="B598" s="3">
        <v>0.94622279099999995</v>
      </c>
      <c r="C598" s="3">
        <v>5</v>
      </c>
      <c r="D598" s="3">
        <v>35</v>
      </c>
      <c r="E598" s="3">
        <v>5.5E-2</v>
      </c>
      <c r="F598" s="3">
        <f t="shared" si="124"/>
        <v>2.6120115584149359</v>
      </c>
      <c r="G598" s="5">
        <v>0.3</v>
      </c>
      <c r="H598" s="4">
        <v>15000000</v>
      </c>
      <c r="I598" s="4">
        <f t="shared" si="122"/>
        <v>14193341.864999998</v>
      </c>
      <c r="J598" s="3">
        <v>210000000000</v>
      </c>
      <c r="K598" s="4">
        <f t="shared" si="123"/>
        <v>7.2466501085348189E-2</v>
      </c>
      <c r="L598" s="6">
        <f t="shared" si="125"/>
        <v>2.5363275379871868</v>
      </c>
      <c r="M598" s="4">
        <f t="shared" si="126"/>
        <v>11397940.923672017</v>
      </c>
      <c r="N598" s="4">
        <f t="shared" si="127"/>
        <v>786428263.60886192</v>
      </c>
      <c r="O598" s="4">
        <f t="shared" si="128"/>
        <v>74878051106.256714</v>
      </c>
      <c r="P598" s="4">
        <f t="shared" si="129"/>
        <v>-5426150371.7603102</v>
      </c>
      <c r="Q598" s="4">
        <f t="shared" si="132"/>
        <v>10958019.255151749</v>
      </c>
      <c r="R598" s="4">
        <f t="shared" si="132"/>
        <v>1043343892.6079712</v>
      </c>
      <c r="S598" s="4">
        <f t="shared" si="132"/>
        <v>-75607481.326066971</v>
      </c>
      <c r="T598" s="3"/>
      <c r="U598" s="4">
        <f t="shared" si="130"/>
        <v>36902688.848999999</v>
      </c>
      <c r="V598">
        <f t="shared" si="131"/>
        <v>548522427267.13654</v>
      </c>
    </row>
    <row r="599" spans="1:22" x14ac:dyDescent="0.5">
      <c r="A599" s="3">
        <v>100</v>
      </c>
      <c r="B599" s="3">
        <v>0.93341869399999999</v>
      </c>
      <c r="C599" s="3">
        <v>5</v>
      </c>
      <c r="D599" s="3">
        <v>35</v>
      </c>
      <c r="E599" s="3">
        <v>5.5E-2</v>
      </c>
      <c r="F599" s="3">
        <f t="shared" si="124"/>
        <v>2.6120115584149359</v>
      </c>
      <c r="G599" s="5">
        <v>0.3</v>
      </c>
      <c r="H599" s="4">
        <v>15000000</v>
      </c>
      <c r="I599" s="4">
        <f t="shared" si="122"/>
        <v>14001280.41</v>
      </c>
      <c r="J599" s="3">
        <v>210000000000</v>
      </c>
      <c r="K599" s="4">
        <f t="shared" si="123"/>
        <v>7.2466501085348189E-2</v>
      </c>
      <c r="L599" s="6">
        <f t="shared" si="125"/>
        <v>2.5363275379871868</v>
      </c>
      <c r="M599" s="4">
        <f t="shared" si="126"/>
        <v>11230947.986145183</v>
      </c>
      <c r="N599" s="4">
        <f t="shared" si="127"/>
        <v>774906185.47443151</v>
      </c>
      <c r="O599" s="4">
        <f t="shared" si="128"/>
        <v>73781001578.253922</v>
      </c>
      <c r="P599" s="4">
        <f t="shared" si="129"/>
        <v>-5346651030.9486141</v>
      </c>
      <c r="Q599" s="4">
        <f t="shared" si="132"/>
        <v>11522078.134430408</v>
      </c>
      <c r="R599" s="4">
        <f t="shared" si="132"/>
        <v>1097049528.0027924</v>
      </c>
      <c r="S599" s="4">
        <f t="shared" si="132"/>
        <v>-79499340.811696053</v>
      </c>
      <c r="T599" s="3"/>
      <c r="U599" s="4">
        <f t="shared" si="130"/>
        <v>36403329.066</v>
      </c>
      <c r="V599">
        <f t="shared" si="131"/>
        <v>548522427267.13654</v>
      </c>
    </row>
    <row r="600" spans="1:22" x14ac:dyDescent="0.5">
      <c r="A600" s="3">
        <v>100</v>
      </c>
      <c r="B600" s="3">
        <v>0.91613316300000003</v>
      </c>
      <c r="C600" s="3">
        <v>5</v>
      </c>
      <c r="D600" s="3">
        <v>35</v>
      </c>
      <c r="E600" s="3">
        <v>5.5E-2</v>
      </c>
      <c r="F600" s="3">
        <f t="shared" si="124"/>
        <v>2.6120115584149359</v>
      </c>
      <c r="G600" s="5">
        <v>0.3</v>
      </c>
      <c r="H600" s="4">
        <v>15000000</v>
      </c>
      <c r="I600" s="4">
        <f t="shared" si="122"/>
        <v>13741997.445</v>
      </c>
      <c r="J600" s="3">
        <v>210000000000</v>
      </c>
      <c r="K600" s="4">
        <f t="shared" si="123"/>
        <v>7.2466501085348189E-2</v>
      </c>
      <c r="L600" s="6">
        <f t="shared" si="125"/>
        <v>2.5363275379871868</v>
      </c>
      <c r="M600" s="4">
        <f t="shared" si="126"/>
        <v>11005810.607431259</v>
      </c>
      <c r="N600" s="4">
        <f t="shared" si="127"/>
        <v>759372292.20361078</v>
      </c>
      <c r="O600" s="4">
        <f t="shared" si="128"/>
        <v>72301975825.957001</v>
      </c>
      <c r="P600" s="4">
        <f t="shared" si="129"/>
        <v>-5239471209.6645317</v>
      </c>
      <c r="Q600" s="4">
        <f t="shared" si="132"/>
        <v>15533893.270820737</v>
      </c>
      <c r="R600" s="4">
        <f t="shared" si="132"/>
        <v>1479025752.2969208</v>
      </c>
      <c r="S600" s="4">
        <f t="shared" si="132"/>
        <v>-107179821.28408241</v>
      </c>
      <c r="T600" s="3"/>
      <c r="U600" s="4">
        <f t="shared" si="130"/>
        <v>35729193.357000001</v>
      </c>
      <c r="V600">
        <f t="shared" si="131"/>
        <v>548522427267.13654</v>
      </c>
    </row>
    <row r="601" spans="1:22" x14ac:dyDescent="0.5">
      <c r="A601" s="3">
        <v>100</v>
      </c>
      <c r="B601" s="3">
        <v>0.89756722200000005</v>
      </c>
      <c r="C601" s="3">
        <v>5</v>
      </c>
      <c r="D601" s="3">
        <v>35</v>
      </c>
      <c r="E601" s="3">
        <v>5.5E-2</v>
      </c>
      <c r="F601" s="3">
        <f t="shared" si="124"/>
        <v>2.6120115584149359</v>
      </c>
      <c r="G601" s="5">
        <v>0.3</v>
      </c>
      <c r="H601" s="4">
        <v>15000000</v>
      </c>
      <c r="I601" s="4">
        <f t="shared" si="122"/>
        <v>13463508.33</v>
      </c>
      <c r="J601" s="3">
        <v>210000000000</v>
      </c>
      <c r="K601" s="4">
        <f t="shared" si="123"/>
        <v>7.2466501085348189E-2</v>
      </c>
      <c r="L601" s="6">
        <f t="shared" si="125"/>
        <v>2.5363275379871868</v>
      </c>
      <c r="M601" s="4">
        <f t="shared" si="126"/>
        <v>10764390.557415796</v>
      </c>
      <c r="N601" s="4">
        <f t="shared" si="127"/>
        <v>742714936.98432612</v>
      </c>
      <c r="O601" s="4">
        <f t="shared" si="128"/>
        <v>70715982095.669342</v>
      </c>
      <c r="P601" s="4">
        <f t="shared" si="129"/>
        <v>-5124539793.2872858</v>
      </c>
      <c r="Q601" s="4">
        <f t="shared" si="132"/>
        <v>16657355.219284654</v>
      </c>
      <c r="R601" s="4">
        <f t="shared" si="132"/>
        <v>1585993730.2876587</v>
      </c>
      <c r="S601" s="4">
        <f t="shared" si="132"/>
        <v>-114931416.3772459</v>
      </c>
      <c r="T601" s="3"/>
      <c r="U601" s="4">
        <f t="shared" si="130"/>
        <v>35005121.658</v>
      </c>
      <c r="V601">
        <f t="shared" si="131"/>
        <v>548522427267.13654</v>
      </c>
    </row>
    <row r="602" spans="1:22" x14ac:dyDescent="0.5">
      <c r="A602" s="3">
        <v>100</v>
      </c>
      <c r="B602" s="3">
        <v>0.87644046099999995</v>
      </c>
      <c r="C602" s="3">
        <v>5</v>
      </c>
      <c r="D602" s="3">
        <v>35</v>
      </c>
      <c r="E602" s="3">
        <v>5.5E-2</v>
      </c>
      <c r="F602" s="3">
        <f t="shared" si="124"/>
        <v>2.6120115584149359</v>
      </c>
      <c r="G602" s="5">
        <v>0.3</v>
      </c>
      <c r="H602" s="4">
        <v>15000000</v>
      </c>
      <c r="I602" s="4">
        <f t="shared" si="122"/>
        <v>13146606.914999999</v>
      </c>
      <c r="J602" s="3">
        <v>210000000000</v>
      </c>
      <c r="K602" s="4">
        <f t="shared" si="123"/>
        <v>7.2466501085348189E-2</v>
      </c>
      <c r="L602" s="6">
        <f t="shared" si="125"/>
        <v>2.5363275379871868</v>
      </c>
      <c r="M602" s="4">
        <f t="shared" si="126"/>
        <v>10490177.42702206</v>
      </c>
      <c r="N602" s="4">
        <f t="shared" si="127"/>
        <v>723794944.55425298</v>
      </c>
      <c r="O602" s="4">
        <f t="shared" si="128"/>
        <v>68914556300.507919</v>
      </c>
      <c r="P602" s="4">
        <f t="shared" si="129"/>
        <v>-4993996768.9470463</v>
      </c>
      <c r="Q602" s="4">
        <f t="shared" si="132"/>
        <v>18919992.430073142</v>
      </c>
      <c r="R602" s="4">
        <f t="shared" si="132"/>
        <v>1801425795.1614227</v>
      </c>
      <c r="S602" s="4">
        <f t="shared" si="132"/>
        <v>-130543024.34023952</v>
      </c>
      <c r="T602" s="3"/>
      <c r="U602" s="4">
        <f t="shared" si="130"/>
        <v>34181177.979000002</v>
      </c>
      <c r="V602">
        <f t="shared" si="131"/>
        <v>548522427267.13654</v>
      </c>
    </row>
    <row r="603" spans="1:22" x14ac:dyDescent="0.5">
      <c r="A603" s="3">
        <v>100</v>
      </c>
      <c r="B603" s="3">
        <v>0.85083226599999995</v>
      </c>
      <c r="C603" s="3">
        <v>5</v>
      </c>
      <c r="D603" s="3">
        <v>35</v>
      </c>
      <c r="E603" s="3">
        <v>5.5E-2</v>
      </c>
      <c r="F603" s="3">
        <f t="shared" si="124"/>
        <v>2.6120115584149359</v>
      </c>
      <c r="G603" s="5">
        <v>0.3</v>
      </c>
      <c r="H603" s="4">
        <v>15000000</v>
      </c>
      <c r="I603" s="4">
        <f t="shared" si="122"/>
        <v>12762483.989999998</v>
      </c>
      <c r="J603" s="3">
        <v>210000000000</v>
      </c>
      <c r="K603" s="4">
        <f t="shared" si="123"/>
        <v>7.2466501085348189E-2</v>
      </c>
      <c r="L603" s="6">
        <f t="shared" si="125"/>
        <v>2.5363275379871868</v>
      </c>
      <c r="M603" s="4">
        <f t="shared" si="126"/>
        <v>10158536.859787636</v>
      </c>
      <c r="N603" s="4">
        <f t="shared" si="127"/>
        <v>700912608.42187691</v>
      </c>
      <c r="O603" s="4">
        <f t="shared" si="128"/>
        <v>66735864595.700676</v>
      </c>
      <c r="P603" s="4">
        <f t="shared" si="129"/>
        <v>-4836114604.1559925</v>
      </c>
      <c r="Q603" s="4">
        <f t="shared" si="132"/>
        <v>22882336.132376075</v>
      </c>
      <c r="R603" s="4">
        <f t="shared" si="132"/>
        <v>2178691704.8072433</v>
      </c>
      <c r="S603" s="4">
        <f t="shared" si="132"/>
        <v>-157882164.79105377</v>
      </c>
      <c r="T603" s="3"/>
      <c r="U603" s="4">
        <f t="shared" si="130"/>
        <v>33182458.373999998</v>
      </c>
      <c r="V603">
        <f t="shared" si="131"/>
        <v>548522427267.13654</v>
      </c>
    </row>
    <row r="604" spans="1:22" x14ac:dyDescent="0.5">
      <c r="A604" s="3">
        <v>100</v>
      </c>
      <c r="B604" s="3">
        <v>0.82202304699999995</v>
      </c>
      <c r="C604" s="3">
        <v>5</v>
      </c>
      <c r="D604" s="3">
        <v>35</v>
      </c>
      <c r="E604" s="3">
        <v>5.5E-2</v>
      </c>
      <c r="F604" s="3">
        <f t="shared" si="124"/>
        <v>2.6120115584149359</v>
      </c>
      <c r="G604" s="5">
        <v>0.3</v>
      </c>
      <c r="H604" s="4">
        <v>15000000</v>
      </c>
      <c r="I604" s="4">
        <f t="shared" si="122"/>
        <v>12330345.705</v>
      </c>
      <c r="J604" s="3">
        <v>210000000000</v>
      </c>
      <c r="K604" s="4">
        <f t="shared" si="123"/>
        <v>7.2466501085348189E-2</v>
      </c>
      <c r="L604" s="6">
        <f t="shared" si="125"/>
        <v>2.5363275379871868</v>
      </c>
      <c r="M604" s="4">
        <f t="shared" si="126"/>
        <v>9786435.5516123287</v>
      </c>
      <c r="N604" s="4">
        <f t="shared" si="127"/>
        <v>675238586.45294952</v>
      </c>
      <c r="O604" s="4">
        <f t="shared" si="128"/>
        <v>64291368615.519783</v>
      </c>
      <c r="P604" s="4">
        <f t="shared" si="129"/>
        <v>-4658970533.5550842</v>
      </c>
      <c r="Q604" s="4">
        <f t="shared" si="132"/>
        <v>25674021.968927383</v>
      </c>
      <c r="R604" s="4">
        <f t="shared" si="132"/>
        <v>2444495980.1808929</v>
      </c>
      <c r="S604" s="4">
        <f t="shared" si="132"/>
        <v>-177144070.60090828</v>
      </c>
      <c r="T604" s="3"/>
      <c r="U604" s="4">
        <f t="shared" si="130"/>
        <v>32058898.833000001</v>
      </c>
      <c r="V604">
        <f t="shared" si="131"/>
        <v>548522427267.13654</v>
      </c>
    </row>
    <row r="605" spans="1:22" x14ac:dyDescent="0.5">
      <c r="A605" s="3">
        <v>100</v>
      </c>
      <c r="B605" s="3">
        <v>0.79001280399999996</v>
      </c>
      <c r="C605" s="3">
        <v>5</v>
      </c>
      <c r="D605" s="3">
        <v>35</v>
      </c>
      <c r="E605" s="3">
        <v>5.5E-2</v>
      </c>
      <c r="F605" s="3">
        <f t="shared" si="124"/>
        <v>2.6120115584149359</v>
      </c>
      <c r="G605" s="5">
        <v>0.3</v>
      </c>
      <c r="H605" s="4">
        <v>15000000</v>
      </c>
      <c r="I605" s="4">
        <f t="shared" si="122"/>
        <v>11850192.059999999</v>
      </c>
      <c r="J605" s="3">
        <v>210000000000</v>
      </c>
      <c r="K605" s="4">
        <f t="shared" si="123"/>
        <v>7.2466501085348189E-2</v>
      </c>
      <c r="L605" s="6">
        <f t="shared" si="125"/>
        <v>2.5363275379871868</v>
      </c>
      <c r="M605" s="4">
        <f t="shared" si="126"/>
        <v>9374264.168617228</v>
      </c>
      <c r="N605" s="4">
        <f t="shared" si="127"/>
        <v>646799833.59322047</v>
      </c>
      <c r="O605" s="4">
        <f t="shared" si="128"/>
        <v>61583634816.308182</v>
      </c>
      <c r="P605" s="4">
        <f t="shared" si="129"/>
        <v>-4462750539.2556839</v>
      </c>
      <c r="Q605" s="4">
        <f t="shared" si="132"/>
        <v>28438752.859729052</v>
      </c>
      <c r="R605" s="4">
        <f t="shared" si="132"/>
        <v>2707733799.2116013</v>
      </c>
      <c r="S605" s="4">
        <f t="shared" si="132"/>
        <v>-196219994.29940033</v>
      </c>
      <c r="T605" s="3"/>
      <c r="U605" s="4">
        <f t="shared" si="130"/>
        <v>30810499.355999999</v>
      </c>
      <c r="V605">
        <f t="shared" si="131"/>
        <v>548522427267.13654</v>
      </c>
    </row>
    <row r="606" spans="1:22" x14ac:dyDescent="0.5">
      <c r="A606" s="3">
        <v>100</v>
      </c>
      <c r="B606" s="3">
        <v>0.75288092200000001</v>
      </c>
      <c r="C606" s="3">
        <v>5</v>
      </c>
      <c r="D606" s="3">
        <v>35</v>
      </c>
      <c r="E606" s="3">
        <v>5.5E-2</v>
      </c>
      <c r="F606" s="3">
        <f t="shared" si="124"/>
        <v>2.6120115584149359</v>
      </c>
      <c r="G606" s="5">
        <v>0.3</v>
      </c>
      <c r="H606" s="4">
        <v>15000000</v>
      </c>
      <c r="I606" s="4">
        <f t="shared" si="122"/>
        <v>11293213.83</v>
      </c>
      <c r="J606" s="3">
        <v>210000000000</v>
      </c>
      <c r="K606" s="4">
        <f t="shared" si="123"/>
        <v>7.2466501085348189E-2</v>
      </c>
      <c r="L606" s="6">
        <f t="shared" si="125"/>
        <v>2.5363275379871868</v>
      </c>
      <c r="M606" s="4">
        <f t="shared" si="126"/>
        <v>8897889.9530810062</v>
      </c>
      <c r="N606" s="4">
        <f t="shared" si="127"/>
        <v>613931252.35903287</v>
      </c>
      <c r="O606" s="4">
        <f t="shared" si="128"/>
        <v>58454124574.458946</v>
      </c>
      <c r="P606" s="4">
        <f t="shared" si="129"/>
        <v>-4235965881.9181075</v>
      </c>
      <c r="Q606" s="4">
        <f t="shared" si="132"/>
        <v>32868581.234187603</v>
      </c>
      <c r="R606" s="4">
        <f t="shared" si="132"/>
        <v>3129510241.8492355</v>
      </c>
      <c r="S606" s="4">
        <f t="shared" si="132"/>
        <v>-226784657.33757639</v>
      </c>
      <c r="T606" s="3"/>
      <c r="U606" s="4">
        <f t="shared" si="130"/>
        <v>29362355.958000001</v>
      </c>
      <c r="V606">
        <f t="shared" si="131"/>
        <v>548522427267.13654</v>
      </c>
    </row>
    <row r="607" spans="1:22" x14ac:dyDescent="0.5">
      <c r="A607" s="3">
        <v>100</v>
      </c>
      <c r="B607" s="3">
        <v>0.71254801499999998</v>
      </c>
      <c r="C607" s="3">
        <v>5</v>
      </c>
      <c r="D607" s="3">
        <v>35</v>
      </c>
      <c r="E607" s="3">
        <v>5.5E-2</v>
      </c>
      <c r="F607" s="3">
        <f t="shared" si="124"/>
        <v>2.6120115584149359</v>
      </c>
      <c r="G607" s="5">
        <v>0.3</v>
      </c>
      <c r="H607" s="4">
        <v>15000000</v>
      </c>
      <c r="I607" s="4">
        <f t="shared" si="122"/>
        <v>10688220.225</v>
      </c>
      <c r="J607" s="3">
        <v>210000000000</v>
      </c>
      <c r="K607" s="4">
        <f t="shared" si="123"/>
        <v>7.2466501085348189E-2</v>
      </c>
      <c r="L607" s="6">
        <f t="shared" si="125"/>
        <v>2.5363275379871868</v>
      </c>
      <c r="M607" s="4">
        <f t="shared" si="126"/>
        <v>8382666.5845073685</v>
      </c>
      <c r="N607" s="4">
        <f t="shared" si="127"/>
        <v>578382180.65990198</v>
      </c>
      <c r="O607" s="4">
        <f t="shared" si="128"/>
        <v>55069397281.911636</v>
      </c>
      <c r="P607" s="4">
        <f t="shared" si="129"/>
        <v>-3990686537.8991203</v>
      </c>
      <c r="Q607" s="4">
        <f t="shared" si="132"/>
        <v>35549071.699130893</v>
      </c>
      <c r="R607" s="4">
        <f t="shared" si="132"/>
        <v>3384727292.5473099</v>
      </c>
      <c r="S607" s="4">
        <f t="shared" si="132"/>
        <v>-245279344.01898718</v>
      </c>
      <c r="T607" s="3"/>
      <c r="U607" s="4">
        <f t="shared" si="130"/>
        <v>27789372.585000001</v>
      </c>
      <c r="V607">
        <f t="shared" si="131"/>
        <v>548522427267.13654</v>
      </c>
    </row>
    <row r="608" spans="1:22" x14ac:dyDescent="0.5">
      <c r="A608" s="3">
        <v>100</v>
      </c>
      <c r="B608" s="3">
        <v>0.66901408500000004</v>
      </c>
      <c r="C608" s="3">
        <v>5</v>
      </c>
      <c r="D608" s="3">
        <v>35</v>
      </c>
      <c r="E608" s="3">
        <v>5.5E-2</v>
      </c>
      <c r="F608" s="3">
        <f t="shared" si="124"/>
        <v>2.6120115584149359</v>
      </c>
      <c r="G608" s="5">
        <v>0.3</v>
      </c>
      <c r="H608" s="4">
        <v>15000000</v>
      </c>
      <c r="I608" s="4">
        <f t="shared" si="122"/>
        <v>10035211.275</v>
      </c>
      <c r="J608" s="3">
        <v>210000000000</v>
      </c>
      <c r="K608" s="4">
        <f t="shared" si="123"/>
        <v>7.2466501085348189E-2</v>
      </c>
      <c r="L608" s="6">
        <f t="shared" si="125"/>
        <v>2.5363275379871868</v>
      </c>
      <c r="M608" s="4">
        <f t="shared" si="126"/>
        <v>7829278.584492025</v>
      </c>
      <c r="N608" s="4">
        <f t="shared" si="127"/>
        <v>540199848.70464551</v>
      </c>
      <c r="O608" s="4">
        <f t="shared" si="128"/>
        <v>51433949859.94091</v>
      </c>
      <c r="P608" s="4">
        <f t="shared" si="129"/>
        <v>-3727238383.3491521</v>
      </c>
      <c r="Q608" s="4">
        <f t="shared" si="132"/>
        <v>38182331.955256462</v>
      </c>
      <c r="R608" s="4">
        <f t="shared" si="132"/>
        <v>3635447421.970726</v>
      </c>
      <c r="S608" s="4">
        <f t="shared" si="132"/>
        <v>-263448154.54996824</v>
      </c>
      <c r="T608" s="3"/>
      <c r="U608" s="4">
        <f t="shared" si="130"/>
        <v>26091549.315000001</v>
      </c>
      <c r="V608">
        <f t="shared" si="131"/>
        <v>548522427267.13654</v>
      </c>
    </row>
    <row r="609" spans="1:22" x14ac:dyDescent="0.5">
      <c r="A609" s="3">
        <v>100</v>
      </c>
      <c r="B609" s="3">
        <v>0.62548015400000001</v>
      </c>
      <c r="C609" s="3">
        <v>5</v>
      </c>
      <c r="D609" s="3">
        <v>35</v>
      </c>
      <c r="E609" s="3">
        <v>5.5E-2</v>
      </c>
      <c r="F609" s="3">
        <f t="shared" si="124"/>
        <v>2.6120115584149359</v>
      </c>
      <c r="G609" s="5">
        <v>0.3</v>
      </c>
      <c r="H609" s="4">
        <v>15000000</v>
      </c>
      <c r="I609" s="4">
        <f t="shared" si="122"/>
        <v>9382202.3100000005</v>
      </c>
      <c r="J609" s="3">
        <v>210000000000</v>
      </c>
      <c r="K609" s="4">
        <f t="shared" si="123"/>
        <v>7.2466501085348189E-2</v>
      </c>
      <c r="L609" s="6">
        <f t="shared" si="125"/>
        <v>2.5363275379871868</v>
      </c>
      <c r="M609" s="4">
        <f t="shared" si="126"/>
        <v>7278885.3001864878</v>
      </c>
      <c r="N609" s="4">
        <f t="shared" si="127"/>
        <v>502224144.34041071</v>
      </c>
      <c r="O609" s="4">
        <f t="shared" si="128"/>
        <v>47818176033.180862</v>
      </c>
      <c r="P609" s="4">
        <f t="shared" si="129"/>
        <v>-3465215905.4078717</v>
      </c>
      <c r="Q609" s="4">
        <f t="shared" si="132"/>
        <v>37975704.364234805</v>
      </c>
      <c r="R609" s="4">
        <f t="shared" si="132"/>
        <v>3615773826.7600479</v>
      </c>
      <c r="S609" s="4">
        <f t="shared" si="132"/>
        <v>-262022477.94128036</v>
      </c>
      <c r="T609" s="3"/>
      <c r="U609" s="4">
        <f t="shared" si="130"/>
        <v>24393726.006000001</v>
      </c>
      <c r="V609">
        <f t="shared" si="131"/>
        <v>548522427267.13654</v>
      </c>
    </row>
    <row r="610" spans="1:22" x14ac:dyDescent="0.5">
      <c r="A610" s="3">
        <v>100</v>
      </c>
      <c r="B610" s="3">
        <v>0.58066581299999998</v>
      </c>
      <c r="C610" s="3">
        <v>5</v>
      </c>
      <c r="D610" s="3">
        <v>35</v>
      </c>
      <c r="E610" s="3">
        <v>5.5E-2</v>
      </c>
      <c r="F610" s="3">
        <f t="shared" si="124"/>
        <v>2.6120115584149359</v>
      </c>
      <c r="G610" s="5">
        <v>0.3</v>
      </c>
      <c r="H610" s="4">
        <v>15000000</v>
      </c>
      <c r="I610" s="4">
        <f t="shared" si="122"/>
        <v>8709987.1950000003</v>
      </c>
      <c r="J610" s="3">
        <v>210000000000</v>
      </c>
      <c r="K610" s="4">
        <f t="shared" si="123"/>
        <v>7.2466501085348189E-2</v>
      </c>
      <c r="L610" s="6">
        <f t="shared" si="125"/>
        <v>2.5363275379871868</v>
      </c>
      <c r="M610" s="4">
        <f t="shared" si="126"/>
        <v>6715633.5874204356</v>
      </c>
      <c r="N610" s="4">
        <f t="shared" si="127"/>
        <v>463361241.87305707</v>
      </c>
      <c r="O610" s="4">
        <f t="shared" si="128"/>
        <v>44117929574.928848</v>
      </c>
      <c r="P610" s="4">
        <f t="shared" si="129"/>
        <v>-3197071991.4248962</v>
      </c>
      <c r="Q610" s="4">
        <f t="shared" si="132"/>
        <v>38862902.467353642</v>
      </c>
      <c r="R610" s="4">
        <f t="shared" si="132"/>
        <v>3700246458.2520142</v>
      </c>
      <c r="S610" s="4">
        <f t="shared" si="132"/>
        <v>-268143913.98297548</v>
      </c>
      <c r="T610" s="3"/>
      <c r="U610" s="4">
        <f t="shared" si="130"/>
        <v>22645966.707000002</v>
      </c>
      <c r="V610">
        <f t="shared" si="131"/>
        <v>548522427267.13654</v>
      </c>
    </row>
    <row r="611" spans="1:22" x14ac:dyDescent="0.5">
      <c r="A611" s="3">
        <v>100</v>
      </c>
      <c r="B611" s="3">
        <v>0.53265044800000005</v>
      </c>
      <c r="C611" s="3">
        <v>5</v>
      </c>
      <c r="D611" s="3">
        <v>35</v>
      </c>
      <c r="E611" s="3">
        <v>5.5E-2</v>
      </c>
      <c r="F611" s="3">
        <f t="shared" si="124"/>
        <v>2.6120115584149359</v>
      </c>
      <c r="G611" s="5">
        <v>0.3</v>
      </c>
      <c r="H611" s="4">
        <v>15000000</v>
      </c>
      <c r="I611" s="4">
        <f t="shared" si="122"/>
        <v>7989756.7200000007</v>
      </c>
      <c r="J611" s="3">
        <v>210000000000</v>
      </c>
      <c r="K611" s="4">
        <f t="shared" si="123"/>
        <v>7.2466501085348189E-2</v>
      </c>
      <c r="L611" s="6">
        <f t="shared" si="125"/>
        <v>2.5363275379871868</v>
      </c>
      <c r="M611" s="4">
        <f t="shared" si="126"/>
        <v>6116167.4660528023</v>
      </c>
      <c r="N611" s="4">
        <f t="shared" si="127"/>
        <v>421999639.45060772</v>
      </c>
      <c r="O611" s="4">
        <f t="shared" si="128"/>
        <v>40179774852.700806</v>
      </c>
      <c r="P611" s="4">
        <f t="shared" si="129"/>
        <v>-2911687697.9722891</v>
      </c>
      <c r="Q611" s="4">
        <f t="shared" si="132"/>
        <v>41361602.42244935</v>
      </c>
      <c r="R611" s="4">
        <f t="shared" si="132"/>
        <v>3938154722.2280426</v>
      </c>
      <c r="S611" s="4">
        <f t="shared" si="132"/>
        <v>-285384293.45260715</v>
      </c>
      <c r="T611" s="3"/>
      <c r="U611" s="4">
        <f t="shared" si="130"/>
        <v>20773367.472000003</v>
      </c>
      <c r="V611">
        <f t="shared" si="131"/>
        <v>548522427267.13654</v>
      </c>
    </row>
    <row r="612" spans="1:22" x14ac:dyDescent="0.5">
      <c r="A612" s="3">
        <v>100</v>
      </c>
      <c r="B612" s="3">
        <v>0.48143405900000003</v>
      </c>
      <c r="C612" s="3">
        <v>5</v>
      </c>
      <c r="D612" s="3">
        <v>35</v>
      </c>
      <c r="E612" s="3">
        <v>5.5E-2</v>
      </c>
      <c r="F612" s="3">
        <f t="shared" si="124"/>
        <v>2.6120115584149359</v>
      </c>
      <c r="G612" s="5">
        <v>0.3</v>
      </c>
      <c r="H612" s="4">
        <v>15000000</v>
      </c>
      <c r="I612" s="4">
        <f t="shared" si="122"/>
        <v>7221510.8850000007</v>
      </c>
      <c r="J612" s="3">
        <v>210000000000</v>
      </c>
      <c r="K612" s="4">
        <f t="shared" si="123"/>
        <v>7.2466501085348189E-2</v>
      </c>
      <c r="L612" s="6">
        <f t="shared" si="125"/>
        <v>2.5363275379871868</v>
      </c>
      <c r="M612" s="4">
        <f t="shared" si="126"/>
        <v>5481697.8332732739</v>
      </c>
      <c r="N612" s="4">
        <f t="shared" si="127"/>
        <v>378222885.82811153</v>
      </c>
      <c r="O612" s="4">
        <f t="shared" si="128"/>
        <v>36011666778.902504</v>
      </c>
      <c r="P612" s="4">
        <f t="shared" si="129"/>
        <v>-2609639489.7185359</v>
      </c>
      <c r="Q612" s="4">
        <f t="shared" si="132"/>
        <v>43776753.622496188</v>
      </c>
      <c r="R612" s="4">
        <f t="shared" si="132"/>
        <v>4168108073.7983017</v>
      </c>
      <c r="S612" s="4">
        <f t="shared" si="132"/>
        <v>-302048208.25375319</v>
      </c>
      <c r="T612" s="3"/>
      <c r="U612" s="4">
        <f t="shared" si="130"/>
        <v>18775928.301000003</v>
      </c>
      <c r="V612">
        <f t="shared" si="131"/>
        <v>548522427267.13654</v>
      </c>
    </row>
    <row r="613" spans="1:22" x14ac:dyDescent="0.5">
      <c r="A613" s="3">
        <v>100</v>
      </c>
      <c r="B613" s="3">
        <v>0.42701664499999997</v>
      </c>
      <c r="C613" s="3">
        <v>5</v>
      </c>
      <c r="D613" s="3">
        <v>35</v>
      </c>
      <c r="E613" s="3">
        <v>5.5E-2</v>
      </c>
      <c r="F613" s="3">
        <f t="shared" si="124"/>
        <v>2.6120115584149359</v>
      </c>
      <c r="G613" s="5">
        <v>0.3</v>
      </c>
      <c r="H613" s="4">
        <v>15000000</v>
      </c>
      <c r="I613" s="4">
        <f t="shared" si="122"/>
        <v>6405249.6749999998</v>
      </c>
      <c r="J613" s="3">
        <v>210000000000</v>
      </c>
      <c r="K613" s="4">
        <f t="shared" si="123"/>
        <v>7.2466501085348189E-2</v>
      </c>
      <c r="L613" s="6">
        <f t="shared" si="125"/>
        <v>2.5363275379871868</v>
      </c>
      <c r="M613" s="4">
        <f t="shared" si="126"/>
        <v>4813733.9613715857</v>
      </c>
      <c r="N613" s="4">
        <f t="shared" si="127"/>
        <v>332135116.86607856</v>
      </c>
      <c r="O613" s="4">
        <f t="shared" si="128"/>
        <v>31623520422.2644</v>
      </c>
      <c r="P613" s="4">
        <f t="shared" si="129"/>
        <v>-2291645877.0025539</v>
      </c>
      <c r="Q613" s="4">
        <f t="shared" si="132"/>
        <v>46087768.962032974</v>
      </c>
      <c r="R613" s="4">
        <f t="shared" si="132"/>
        <v>4388146356.6381035</v>
      </c>
      <c r="S613" s="4">
        <f t="shared" si="132"/>
        <v>-317993612.71598196</v>
      </c>
      <c r="T613" s="3"/>
      <c r="U613" s="4">
        <f t="shared" si="130"/>
        <v>16653649.154999999</v>
      </c>
      <c r="V613">
        <f t="shared" si="131"/>
        <v>548522427267.13654</v>
      </c>
    </row>
    <row r="614" spans="1:22" x14ac:dyDescent="0.5">
      <c r="A614" s="3">
        <v>100</v>
      </c>
      <c r="B614" s="3">
        <v>0.371959027</v>
      </c>
      <c r="C614" s="3">
        <v>5</v>
      </c>
      <c r="D614" s="3">
        <v>35</v>
      </c>
      <c r="E614" s="3">
        <v>5.5E-2</v>
      </c>
      <c r="F614" s="3">
        <f t="shared" si="124"/>
        <v>2.6120115584149359</v>
      </c>
      <c r="G614" s="5">
        <v>0.3</v>
      </c>
      <c r="H614" s="4">
        <v>15000000</v>
      </c>
      <c r="I614" s="4">
        <f t="shared" si="122"/>
        <v>5579385.4050000003</v>
      </c>
      <c r="J614" s="3">
        <v>210000000000</v>
      </c>
      <c r="K614" s="4">
        <f t="shared" si="123"/>
        <v>7.2466501085348189E-2</v>
      </c>
      <c r="L614" s="6">
        <f t="shared" si="125"/>
        <v>2.5363275379871868</v>
      </c>
      <c r="M614" s="4">
        <f t="shared" si="126"/>
        <v>4145114.9164040489</v>
      </c>
      <c r="N614" s="4">
        <f t="shared" si="127"/>
        <v>286002142.66741651</v>
      </c>
      <c r="O614" s="4">
        <f t="shared" si="128"/>
        <v>27231069947.660027</v>
      </c>
      <c r="P614" s="4">
        <f t="shared" si="129"/>
        <v>-1973340359.9172978</v>
      </c>
      <c r="Q614" s="4">
        <f t="shared" si="132"/>
        <v>46132974.198662043</v>
      </c>
      <c r="R614" s="4">
        <f t="shared" si="132"/>
        <v>4392450474.6043739</v>
      </c>
      <c r="S614" s="4">
        <f t="shared" si="132"/>
        <v>-318305517.0852561</v>
      </c>
      <c r="T614" s="3"/>
      <c r="U614" s="4">
        <f t="shared" si="130"/>
        <v>14506402.053000001</v>
      </c>
      <c r="V614">
        <f t="shared" si="131"/>
        <v>548522427267.13654</v>
      </c>
    </row>
    <row r="615" spans="1:22" x14ac:dyDescent="0.5">
      <c r="A615" s="3">
        <v>100</v>
      </c>
      <c r="B615" s="3">
        <v>0.309859155</v>
      </c>
      <c r="C615" s="3">
        <v>5</v>
      </c>
      <c r="D615" s="3">
        <v>35</v>
      </c>
      <c r="E615" s="3">
        <v>5.5E-2</v>
      </c>
      <c r="F615" s="3">
        <f t="shared" si="124"/>
        <v>2.6120115584149359</v>
      </c>
      <c r="G615" s="5">
        <v>0.3</v>
      </c>
      <c r="H615" s="4">
        <v>15000000</v>
      </c>
      <c r="I615" s="4">
        <f t="shared" si="122"/>
        <v>4647887.3250000002</v>
      </c>
      <c r="J615" s="3">
        <v>210000000000</v>
      </c>
      <c r="K615" s="4">
        <f t="shared" si="123"/>
        <v>7.2466501085348189E-2</v>
      </c>
      <c r="L615" s="6">
        <f t="shared" si="125"/>
        <v>2.5363275379871868</v>
      </c>
      <c r="M615" s="4">
        <f t="shared" si="126"/>
        <v>3400908.1806631186</v>
      </c>
      <c r="N615" s="4">
        <f t="shared" si="127"/>
        <v>234653814.50234935</v>
      </c>
      <c r="O615" s="4">
        <f t="shared" si="128"/>
        <v>22342050925.224407</v>
      </c>
      <c r="P615" s="4">
        <f t="shared" si="129"/>
        <v>-1619050257.6216791</v>
      </c>
      <c r="Q615" s="4">
        <f t="shared" si="132"/>
        <v>51348328.165067166</v>
      </c>
      <c r="R615" s="4">
        <f t="shared" si="132"/>
        <v>4889019022.4356194</v>
      </c>
      <c r="S615" s="4">
        <f t="shared" si="132"/>
        <v>-354290102.29561877</v>
      </c>
      <c r="T615" s="3"/>
      <c r="U615" s="4">
        <f t="shared" si="130"/>
        <v>12084507.045000002</v>
      </c>
      <c r="V615">
        <f t="shared" si="131"/>
        <v>548522427267.13654</v>
      </c>
    </row>
    <row r="616" spans="1:22" x14ac:dyDescent="0.5">
      <c r="A616" s="3">
        <v>100</v>
      </c>
      <c r="B616" s="3">
        <v>0.26248399500000003</v>
      </c>
      <c r="C616" s="3">
        <v>5</v>
      </c>
      <c r="D616" s="3">
        <v>35</v>
      </c>
      <c r="E616" s="3">
        <v>5.5E-2</v>
      </c>
      <c r="F616" s="3">
        <f t="shared" si="124"/>
        <v>2.6120115584149359</v>
      </c>
      <c r="G616" s="5">
        <v>0.3</v>
      </c>
      <c r="H616" s="4">
        <v>15000000</v>
      </c>
      <c r="I616" s="4">
        <f t="shared" si="122"/>
        <v>3937259.9250000003</v>
      </c>
      <c r="J616" s="3">
        <v>210000000000</v>
      </c>
      <c r="K616" s="4">
        <f t="shared" si="123"/>
        <v>7.2466501085348189E-2</v>
      </c>
      <c r="L616" s="6">
        <f t="shared" si="125"/>
        <v>2.5363275379871868</v>
      </c>
      <c r="M616" s="4">
        <f t="shared" si="126"/>
        <v>2841373.1785721378</v>
      </c>
      <c r="N616" s="4">
        <f t="shared" si="127"/>
        <v>196047355.39981985</v>
      </c>
      <c r="O616" s="4">
        <f t="shared" si="128"/>
        <v>18666221162.385963</v>
      </c>
      <c r="P616" s="4">
        <f t="shared" si="129"/>
        <v>-1352675736.1233916</v>
      </c>
      <c r="Q616" s="4">
        <f t="shared" si="132"/>
        <v>38606459.102529496</v>
      </c>
      <c r="R616" s="4">
        <f t="shared" si="132"/>
        <v>3675829762.8384438</v>
      </c>
      <c r="S616" s="4">
        <f t="shared" si="132"/>
        <v>-266374521.49828744</v>
      </c>
      <c r="T616" s="3"/>
      <c r="U616" s="4">
        <f t="shared" si="130"/>
        <v>10236875.805000002</v>
      </c>
      <c r="V616">
        <f t="shared" si="131"/>
        <v>548522427267.13654</v>
      </c>
    </row>
    <row r="617" spans="1:22" x14ac:dyDescent="0.5">
      <c r="A617" s="3">
        <v>100</v>
      </c>
      <c r="B617" s="3">
        <v>0.22087067899999999</v>
      </c>
      <c r="C617" s="3">
        <v>5</v>
      </c>
      <c r="D617" s="3">
        <v>35</v>
      </c>
      <c r="E617" s="3">
        <v>5.5E-2</v>
      </c>
      <c r="F617" s="3">
        <f t="shared" si="124"/>
        <v>2.6120115584149359</v>
      </c>
      <c r="G617" s="5">
        <v>0.3</v>
      </c>
      <c r="H617" s="4">
        <v>15000000</v>
      </c>
      <c r="I617" s="4">
        <f t="shared" si="122"/>
        <v>3313060.1849999996</v>
      </c>
      <c r="J617" s="3">
        <v>210000000000</v>
      </c>
      <c r="K617" s="4">
        <f t="shared" si="123"/>
        <v>7.2466501085348189E-2</v>
      </c>
      <c r="L617" s="6">
        <f t="shared" si="125"/>
        <v>2.5363275379871868</v>
      </c>
      <c r="M617" s="4">
        <f t="shared" si="126"/>
        <v>2356765.9342579236</v>
      </c>
      <c r="N617" s="4">
        <f t="shared" si="127"/>
        <v>162610716.60422915</v>
      </c>
      <c r="O617" s="4">
        <f t="shared" si="128"/>
        <v>15482624559.348673</v>
      </c>
      <c r="P617" s="4">
        <f t="shared" si="129"/>
        <v>-1121971629.4340792</v>
      </c>
      <c r="Q617" s="4">
        <f t="shared" si="132"/>
        <v>33436638.795590699</v>
      </c>
      <c r="R617" s="4">
        <f t="shared" si="132"/>
        <v>3183596603.0372906</v>
      </c>
      <c r="S617" s="4">
        <f t="shared" si="132"/>
        <v>-230704106.68931246</v>
      </c>
      <c r="T617" s="3"/>
      <c r="U617" s="4">
        <f t="shared" si="130"/>
        <v>8613956.4809999987</v>
      </c>
      <c r="V617">
        <f t="shared" si="131"/>
        <v>548522427267.13654</v>
      </c>
    </row>
    <row r="618" spans="1:22" x14ac:dyDescent="0.5">
      <c r="A618" s="3">
        <v>120</v>
      </c>
      <c r="B618" s="3">
        <v>1</v>
      </c>
      <c r="C618" s="3">
        <v>5</v>
      </c>
      <c r="D618" s="3">
        <v>40</v>
      </c>
      <c r="E618" s="3">
        <v>0.06</v>
      </c>
      <c r="F618" s="3">
        <f t="shared" si="124"/>
        <v>2.8409000509219249</v>
      </c>
      <c r="G618" s="5">
        <v>0.35</v>
      </c>
      <c r="H618" s="4">
        <v>20000000</v>
      </c>
      <c r="I618" s="4">
        <f>B618*$H$618</f>
        <v>20000000</v>
      </c>
      <c r="J618" s="3">
        <v>210000000000</v>
      </c>
      <c r="K618" s="4">
        <f>(($M$618*C618)/(4*J618*F618))^(1/4)</f>
        <v>7.8871725684275015E-2</v>
      </c>
      <c r="L618" s="6">
        <f t="shared" si="125"/>
        <v>3.1548690273710007</v>
      </c>
      <c r="M618" s="4">
        <f t="shared" si="126"/>
        <v>18469307.363446243</v>
      </c>
      <c r="N618" s="4">
        <f t="shared" si="127"/>
        <v>1170844634.3230286</v>
      </c>
      <c r="O618" s="4">
        <f t="shared" si="128"/>
        <v>94108009595.35788</v>
      </c>
      <c r="P618" s="4">
        <f t="shared" si="129"/>
        <v>-7422461117.4981871</v>
      </c>
      <c r="Q618" s="4">
        <f>N618</f>
        <v>1170844634.3230286</v>
      </c>
      <c r="R618" s="4">
        <f t="shared" ref="R618:S618" si="133">O618</f>
        <v>94108009595.35788</v>
      </c>
      <c r="S618" s="4">
        <f t="shared" si="133"/>
        <v>-7422461117.4981871</v>
      </c>
      <c r="T618" s="3"/>
      <c r="U618" s="4">
        <f t="shared" si="130"/>
        <v>54000000</v>
      </c>
      <c r="V618">
        <f t="shared" si="131"/>
        <v>596589010693.60425</v>
      </c>
    </row>
    <row r="619" spans="1:22" x14ac:dyDescent="0.5">
      <c r="A619" s="3">
        <v>120</v>
      </c>
      <c r="B619" s="3">
        <v>1</v>
      </c>
      <c r="C619" s="3">
        <v>5</v>
      </c>
      <c r="D619" s="3">
        <v>40</v>
      </c>
      <c r="E619" s="3">
        <v>0.06</v>
      </c>
      <c r="F619" s="3">
        <f t="shared" si="124"/>
        <v>2.8409000509219249</v>
      </c>
      <c r="G619" s="5">
        <v>0.35</v>
      </c>
      <c r="H619" s="4">
        <v>20000000</v>
      </c>
      <c r="I619" s="4">
        <f t="shared" ref="I619:I661" si="134">B619*$H$618</f>
        <v>20000000</v>
      </c>
      <c r="J619" s="3">
        <v>210000000000</v>
      </c>
      <c r="K619" s="4">
        <f t="shared" ref="K619:K661" si="135">(($M$618*C619)/(4*J619*F619))^(1/4)</f>
        <v>7.8871725684275015E-2</v>
      </c>
      <c r="L619" s="6">
        <f t="shared" si="125"/>
        <v>3.1548690273710007</v>
      </c>
      <c r="M619" s="4">
        <f t="shared" si="126"/>
        <v>18469307.363446243</v>
      </c>
      <c r="N619" s="4">
        <f t="shared" si="127"/>
        <v>1170844634.3230286</v>
      </c>
      <c r="O619" s="4">
        <f t="shared" si="128"/>
        <v>94108009595.35788</v>
      </c>
      <c r="P619" s="4">
        <f t="shared" si="129"/>
        <v>-7422461117.4981871</v>
      </c>
      <c r="Q619" s="4">
        <f t="shared" si="132"/>
        <v>0</v>
      </c>
      <c r="R619" s="4">
        <f t="shared" si="132"/>
        <v>0</v>
      </c>
      <c r="S619" s="4">
        <f t="shared" si="132"/>
        <v>0</v>
      </c>
      <c r="T619" s="3"/>
      <c r="U619" s="4">
        <f t="shared" si="130"/>
        <v>54000000</v>
      </c>
      <c r="V619">
        <f t="shared" si="131"/>
        <v>596589010693.60425</v>
      </c>
    </row>
    <row r="620" spans="1:22" x14ac:dyDescent="0.5">
      <c r="A620" s="3">
        <v>120</v>
      </c>
      <c r="B620" s="3">
        <v>1</v>
      </c>
      <c r="C620" s="3">
        <v>5</v>
      </c>
      <c r="D620" s="3">
        <v>40</v>
      </c>
      <c r="E620" s="3">
        <v>0.06</v>
      </c>
      <c r="F620" s="3">
        <f t="shared" si="124"/>
        <v>2.8409000509219249</v>
      </c>
      <c r="G620" s="5">
        <v>0.35</v>
      </c>
      <c r="H620" s="4">
        <v>20000000</v>
      </c>
      <c r="I620" s="4">
        <f t="shared" si="134"/>
        <v>20000000</v>
      </c>
      <c r="J620" s="3">
        <v>210000000000</v>
      </c>
      <c r="K620" s="4">
        <f t="shared" si="135"/>
        <v>7.8871725684275015E-2</v>
      </c>
      <c r="L620" s="6">
        <f t="shared" si="125"/>
        <v>3.1548690273710007</v>
      </c>
      <c r="M620" s="4">
        <f t="shared" si="126"/>
        <v>18469307.363446243</v>
      </c>
      <c r="N620" s="4">
        <f t="shared" si="127"/>
        <v>1170844634.3230286</v>
      </c>
      <c r="O620" s="4">
        <f t="shared" si="128"/>
        <v>94108009595.35788</v>
      </c>
      <c r="P620" s="4">
        <f t="shared" si="129"/>
        <v>-7422461117.4981871</v>
      </c>
      <c r="Q620" s="4">
        <f t="shared" si="132"/>
        <v>0</v>
      </c>
      <c r="R620" s="4">
        <f t="shared" si="132"/>
        <v>0</v>
      </c>
      <c r="S620" s="4">
        <f t="shared" si="132"/>
        <v>0</v>
      </c>
      <c r="T620" s="3"/>
      <c r="U620" s="4">
        <f t="shared" si="130"/>
        <v>54000000</v>
      </c>
      <c r="V620">
        <f t="shared" si="131"/>
        <v>596589010693.60425</v>
      </c>
    </row>
    <row r="621" spans="1:22" x14ac:dyDescent="0.5">
      <c r="A621" s="3">
        <v>120</v>
      </c>
      <c r="B621" s="3">
        <v>1</v>
      </c>
      <c r="C621" s="3">
        <v>5</v>
      </c>
      <c r="D621" s="3">
        <v>40</v>
      </c>
      <c r="E621" s="3">
        <v>0.06</v>
      </c>
      <c r="F621" s="3">
        <f t="shared" si="124"/>
        <v>2.8409000509219249</v>
      </c>
      <c r="G621" s="5">
        <v>0.35</v>
      </c>
      <c r="H621" s="4">
        <v>20000000</v>
      </c>
      <c r="I621" s="4">
        <f t="shared" si="134"/>
        <v>20000000</v>
      </c>
      <c r="J621" s="3">
        <v>210000000000</v>
      </c>
      <c r="K621" s="4">
        <f t="shared" si="135"/>
        <v>7.8871725684275015E-2</v>
      </c>
      <c r="L621" s="6">
        <f t="shared" si="125"/>
        <v>3.1548690273710007</v>
      </c>
      <c r="M621" s="4">
        <f t="shared" si="126"/>
        <v>18469307.363446243</v>
      </c>
      <c r="N621" s="4">
        <f t="shared" si="127"/>
        <v>1170844634.3230286</v>
      </c>
      <c r="O621" s="4">
        <f t="shared" si="128"/>
        <v>94108009595.35788</v>
      </c>
      <c r="P621" s="4">
        <f t="shared" si="129"/>
        <v>-7422461117.4981871</v>
      </c>
      <c r="Q621" s="4">
        <f t="shared" si="132"/>
        <v>0</v>
      </c>
      <c r="R621" s="4">
        <f t="shared" si="132"/>
        <v>0</v>
      </c>
      <c r="S621" s="4">
        <f t="shared" si="132"/>
        <v>0</v>
      </c>
      <c r="T621" s="3"/>
      <c r="U621" s="4">
        <f t="shared" si="130"/>
        <v>54000000</v>
      </c>
      <c r="V621">
        <f t="shared" si="131"/>
        <v>596589010693.60425</v>
      </c>
    </row>
    <row r="622" spans="1:22" x14ac:dyDescent="0.5">
      <c r="A622" s="3">
        <v>120</v>
      </c>
      <c r="B622" s="3">
        <v>1</v>
      </c>
      <c r="C622" s="3">
        <v>5</v>
      </c>
      <c r="D622" s="3">
        <v>40</v>
      </c>
      <c r="E622" s="3">
        <v>0.06</v>
      </c>
      <c r="F622" s="3">
        <f t="shared" si="124"/>
        <v>2.8409000509219249</v>
      </c>
      <c r="G622" s="5">
        <v>0.35</v>
      </c>
      <c r="H622" s="4">
        <v>20000000</v>
      </c>
      <c r="I622" s="4">
        <f t="shared" si="134"/>
        <v>20000000</v>
      </c>
      <c r="J622" s="3">
        <v>210000000000</v>
      </c>
      <c r="K622" s="4">
        <f t="shared" si="135"/>
        <v>7.8871725684275015E-2</v>
      </c>
      <c r="L622" s="6">
        <f t="shared" si="125"/>
        <v>3.1548690273710007</v>
      </c>
      <c r="M622" s="4">
        <f t="shared" si="126"/>
        <v>18469307.363446243</v>
      </c>
      <c r="N622" s="4">
        <f t="shared" si="127"/>
        <v>1170844634.3230286</v>
      </c>
      <c r="O622" s="4">
        <f t="shared" si="128"/>
        <v>94108009595.35788</v>
      </c>
      <c r="P622" s="4">
        <f t="shared" si="129"/>
        <v>-7422461117.4981871</v>
      </c>
      <c r="Q622" s="4">
        <f t="shared" si="132"/>
        <v>0</v>
      </c>
      <c r="R622" s="4">
        <f t="shared" si="132"/>
        <v>0</v>
      </c>
      <c r="S622" s="4">
        <f t="shared" si="132"/>
        <v>0</v>
      </c>
      <c r="T622" s="3"/>
      <c r="U622" s="4">
        <f t="shared" si="130"/>
        <v>54000000</v>
      </c>
      <c r="V622">
        <f t="shared" si="131"/>
        <v>596589010693.60425</v>
      </c>
    </row>
    <row r="623" spans="1:22" x14ac:dyDescent="0.5">
      <c r="A623" s="3">
        <v>120</v>
      </c>
      <c r="B623" s="3">
        <v>1</v>
      </c>
      <c r="C623" s="3">
        <v>5</v>
      </c>
      <c r="D623" s="3">
        <v>40</v>
      </c>
      <c r="E623" s="3">
        <v>0.06</v>
      </c>
      <c r="F623" s="3">
        <f t="shared" si="124"/>
        <v>2.8409000509219249</v>
      </c>
      <c r="G623" s="5">
        <v>0.35</v>
      </c>
      <c r="H623" s="4">
        <v>20000000</v>
      </c>
      <c r="I623" s="4">
        <f t="shared" si="134"/>
        <v>20000000</v>
      </c>
      <c r="J623" s="3">
        <v>210000000000</v>
      </c>
      <c r="K623" s="4">
        <f t="shared" si="135"/>
        <v>7.8871725684275015E-2</v>
      </c>
      <c r="L623" s="6">
        <f t="shared" si="125"/>
        <v>3.1548690273710007</v>
      </c>
      <c r="M623" s="4">
        <f t="shared" si="126"/>
        <v>18469307.363446243</v>
      </c>
      <c r="N623" s="4">
        <f t="shared" si="127"/>
        <v>1170844634.3230286</v>
      </c>
      <c r="O623" s="4">
        <f t="shared" si="128"/>
        <v>94108009595.35788</v>
      </c>
      <c r="P623" s="4">
        <f t="shared" si="129"/>
        <v>-7422461117.4981871</v>
      </c>
      <c r="Q623" s="4">
        <f t="shared" si="132"/>
        <v>0</v>
      </c>
      <c r="R623" s="4">
        <f t="shared" si="132"/>
        <v>0</v>
      </c>
      <c r="S623" s="4">
        <f t="shared" si="132"/>
        <v>0</v>
      </c>
      <c r="T623" s="3"/>
      <c r="U623" s="4">
        <f t="shared" si="130"/>
        <v>54000000</v>
      </c>
      <c r="V623">
        <f t="shared" si="131"/>
        <v>596589010693.60425</v>
      </c>
    </row>
    <row r="624" spans="1:22" x14ac:dyDescent="0.5">
      <c r="A624" s="3">
        <v>120</v>
      </c>
      <c r="B624" s="3">
        <v>1</v>
      </c>
      <c r="C624" s="3">
        <v>5</v>
      </c>
      <c r="D624" s="3">
        <v>40</v>
      </c>
      <c r="E624" s="3">
        <v>0.06</v>
      </c>
      <c r="F624" s="3">
        <f t="shared" si="124"/>
        <v>2.8409000509219249</v>
      </c>
      <c r="G624" s="5">
        <v>0.35</v>
      </c>
      <c r="H624" s="4">
        <v>20000000</v>
      </c>
      <c r="I624" s="4">
        <f t="shared" si="134"/>
        <v>20000000</v>
      </c>
      <c r="J624" s="3">
        <v>210000000000</v>
      </c>
      <c r="K624" s="4">
        <f t="shared" si="135"/>
        <v>7.8871725684275015E-2</v>
      </c>
      <c r="L624" s="6">
        <f t="shared" si="125"/>
        <v>3.1548690273710007</v>
      </c>
      <c r="M624" s="4">
        <f t="shared" si="126"/>
        <v>18469307.363446243</v>
      </c>
      <c r="N624" s="4">
        <f t="shared" si="127"/>
        <v>1170844634.3230286</v>
      </c>
      <c r="O624" s="4">
        <f t="shared" si="128"/>
        <v>94108009595.35788</v>
      </c>
      <c r="P624" s="4">
        <f t="shared" si="129"/>
        <v>-7422461117.4981871</v>
      </c>
      <c r="Q624" s="4">
        <f t="shared" si="132"/>
        <v>0</v>
      </c>
      <c r="R624" s="4">
        <f t="shared" si="132"/>
        <v>0</v>
      </c>
      <c r="S624" s="4">
        <f t="shared" si="132"/>
        <v>0</v>
      </c>
      <c r="T624" s="3"/>
      <c r="U624" s="4">
        <f t="shared" si="130"/>
        <v>54000000</v>
      </c>
      <c r="V624">
        <f t="shared" si="131"/>
        <v>596589010693.60425</v>
      </c>
    </row>
    <row r="625" spans="1:22" x14ac:dyDescent="0.5">
      <c r="A625" s="3">
        <v>120</v>
      </c>
      <c r="B625" s="3">
        <v>1</v>
      </c>
      <c r="C625" s="3">
        <v>5</v>
      </c>
      <c r="D625" s="3">
        <v>40</v>
      </c>
      <c r="E625" s="3">
        <v>0.06</v>
      </c>
      <c r="F625" s="3">
        <f t="shared" si="124"/>
        <v>2.8409000509219249</v>
      </c>
      <c r="G625" s="5">
        <v>0.35</v>
      </c>
      <c r="H625" s="4">
        <v>20000000</v>
      </c>
      <c r="I625" s="4">
        <f t="shared" si="134"/>
        <v>20000000</v>
      </c>
      <c r="J625" s="3">
        <v>210000000000</v>
      </c>
      <c r="K625" s="4">
        <f t="shared" si="135"/>
        <v>7.8871725684275015E-2</v>
      </c>
      <c r="L625" s="6">
        <f t="shared" si="125"/>
        <v>3.1548690273710007</v>
      </c>
      <c r="M625" s="4">
        <f t="shared" si="126"/>
        <v>18469307.363446243</v>
      </c>
      <c r="N625" s="4">
        <f t="shared" si="127"/>
        <v>1170844634.3230286</v>
      </c>
      <c r="O625" s="4">
        <f t="shared" si="128"/>
        <v>94108009595.35788</v>
      </c>
      <c r="P625" s="4">
        <f t="shared" si="129"/>
        <v>-7422461117.4981871</v>
      </c>
      <c r="Q625" s="4">
        <f t="shared" si="132"/>
        <v>0</v>
      </c>
      <c r="R625" s="4">
        <f t="shared" si="132"/>
        <v>0</v>
      </c>
      <c r="S625" s="4">
        <f t="shared" si="132"/>
        <v>0</v>
      </c>
      <c r="T625" s="3"/>
      <c r="U625" s="4">
        <f t="shared" si="130"/>
        <v>54000000</v>
      </c>
      <c r="V625">
        <f t="shared" si="131"/>
        <v>596589010693.60425</v>
      </c>
    </row>
    <row r="626" spans="1:22" x14ac:dyDescent="0.5">
      <c r="A626" s="3">
        <v>120</v>
      </c>
      <c r="B626" s="3">
        <v>1</v>
      </c>
      <c r="C626" s="3">
        <v>5</v>
      </c>
      <c r="D626" s="3">
        <v>40</v>
      </c>
      <c r="E626" s="3">
        <v>0.06</v>
      </c>
      <c r="F626" s="3">
        <f t="shared" si="124"/>
        <v>2.8409000509219249</v>
      </c>
      <c r="G626" s="5">
        <v>0.35</v>
      </c>
      <c r="H626" s="4">
        <v>20000000</v>
      </c>
      <c r="I626" s="4">
        <f t="shared" si="134"/>
        <v>20000000</v>
      </c>
      <c r="J626" s="3">
        <v>210000000000</v>
      </c>
      <c r="K626" s="4">
        <f t="shared" si="135"/>
        <v>7.8871725684275015E-2</v>
      </c>
      <c r="L626" s="6">
        <f t="shared" si="125"/>
        <v>3.1548690273710007</v>
      </c>
      <c r="M626" s="4">
        <f t="shared" si="126"/>
        <v>18469307.363446243</v>
      </c>
      <c r="N626" s="4">
        <f t="shared" si="127"/>
        <v>1170844634.3230286</v>
      </c>
      <c r="O626" s="4">
        <f t="shared" si="128"/>
        <v>94108009595.35788</v>
      </c>
      <c r="P626" s="4">
        <f t="shared" si="129"/>
        <v>-7422461117.4981871</v>
      </c>
      <c r="Q626" s="4">
        <f t="shared" si="132"/>
        <v>0</v>
      </c>
      <c r="R626" s="4">
        <f t="shared" si="132"/>
        <v>0</v>
      </c>
      <c r="S626" s="4">
        <f t="shared" si="132"/>
        <v>0</v>
      </c>
      <c r="T626" s="3"/>
      <c r="U626" s="4">
        <f t="shared" si="130"/>
        <v>54000000</v>
      </c>
      <c r="V626">
        <f t="shared" si="131"/>
        <v>596589010693.60425</v>
      </c>
    </row>
    <row r="627" spans="1:22" x14ac:dyDescent="0.5">
      <c r="A627" s="3">
        <v>120</v>
      </c>
      <c r="B627" s="3">
        <v>1</v>
      </c>
      <c r="C627" s="3">
        <v>5</v>
      </c>
      <c r="D627" s="3">
        <v>40</v>
      </c>
      <c r="E627" s="3">
        <v>0.06</v>
      </c>
      <c r="F627" s="3">
        <f t="shared" si="124"/>
        <v>2.8409000509219249</v>
      </c>
      <c r="G627" s="5">
        <v>0.35</v>
      </c>
      <c r="H627" s="4">
        <v>20000000</v>
      </c>
      <c r="I627" s="4">
        <f t="shared" si="134"/>
        <v>20000000</v>
      </c>
      <c r="J627" s="3">
        <v>210000000000</v>
      </c>
      <c r="K627" s="4">
        <f t="shared" si="135"/>
        <v>7.8871725684275015E-2</v>
      </c>
      <c r="L627" s="6">
        <f t="shared" si="125"/>
        <v>3.1548690273710007</v>
      </c>
      <c r="M627" s="4">
        <f t="shared" si="126"/>
        <v>18469307.363446243</v>
      </c>
      <c r="N627" s="4">
        <f t="shared" si="127"/>
        <v>1170844634.3230286</v>
      </c>
      <c r="O627" s="4">
        <f t="shared" si="128"/>
        <v>94108009595.35788</v>
      </c>
      <c r="P627" s="4">
        <f t="shared" si="129"/>
        <v>-7422461117.4981871</v>
      </c>
      <c r="Q627" s="4">
        <f t="shared" si="132"/>
        <v>0</v>
      </c>
      <c r="R627" s="4">
        <f t="shared" si="132"/>
        <v>0</v>
      </c>
      <c r="S627" s="4">
        <f t="shared" si="132"/>
        <v>0</v>
      </c>
      <c r="T627" s="3"/>
      <c r="U627" s="4">
        <f t="shared" si="130"/>
        <v>54000000</v>
      </c>
      <c r="V627">
        <f t="shared" si="131"/>
        <v>596589010693.60425</v>
      </c>
    </row>
    <row r="628" spans="1:22" x14ac:dyDescent="0.5">
      <c r="A628" s="3">
        <v>120</v>
      </c>
      <c r="B628" s="3">
        <v>1</v>
      </c>
      <c r="C628" s="3">
        <v>5</v>
      </c>
      <c r="D628" s="3">
        <v>40</v>
      </c>
      <c r="E628" s="3">
        <v>0.06</v>
      </c>
      <c r="F628" s="3">
        <f t="shared" si="124"/>
        <v>2.8409000509219249</v>
      </c>
      <c r="G628" s="5">
        <v>0.35</v>
      </c>
      <c r="H628" s="4">
        <v>20000000</v>
      </c>
      <c r="I628" s="4">
        <f t="shared" si="134"/>
        <v>20000000</v>
      </c>
      <c r="J628" s="3">
        <v>210000000000</v>
      </c>
      <c r="K628" s="4">
        <f t="shared" si="135"/>
        <v>7.8871725684275015E-2</v>
      </c>
      <c r="L628" s="6">
        <f t="shared" si="125"/>
        <v>3.1548690273710007</v>
      </c>
      <c r="M628" s="4">
        <f t="shared" si="126"/>
        <v>18469307.363446243</v>
      </c>
      <c r="N628" s="4">
        <f t="shared" si="127"/>
        <v>1170844634.3230286</v>
      </c>
      <c r="O628" s="4">
        <f t="shared" si="128"/>
        <v>94108009595.35788</v>
      </c>
      <c r="P628" s="4">
        <f t="shared" si="129"/>
        <v>-7422461117.4981871</v>
      </c>
      <c r="Q628" s="4">
        <f t="shared" si="132"/>
        <v>0</v>
      </c>
      <c r="R628" s="4">
        <f t="shared" si="132"/>
        <v>0</v>
      </c>
      <c r="S628" s="4">
        <f t="shared" si="132"/>
        <v>0</v>
      </c>
      <c r="T628" s="3"/>
      <c r="U628" s="4">
        <f t="shared" si="130"/>
        <v>54000000</v>
      </c>
      <c r="V628">
        <f t="shared" si="131"/>
        <v>596589010693.60425</v>
      </c>
    </row>
    <row r="629" spans="1:22" x14ac:dyDescent="0.5">
      <c r="A629" s="3">
        <v>120</v>
      </c>
      <c r="B629" s="3">
        <v>1</v>
      </c>
      <c r="C629" s="3">
        <v>5</v>
      </c>
      <c r="D629" s="3">
        <v>40</v>
      </c>
      <c r="E629" s="3">
        <v>0.06</v>
      </c>
      <c r="F629" s="3">
        <f t="shared" si="124"/>
        <v>2.8409000509219249</v>
      </c>
      <c r="G629" s="5">
        <v>0.35</v>
      </c>
      <c r="H629" s="4">
        <v>20000000</v>
      </c>
      <c r="I629" s="4">
        <f t="shared" si="134"/>
        <v>20000000</v>
      </c>
      <c r="J629" s="3">
        <v>210000000000</v>
      </c>
      <c r="K629" s="4">
        <f t="shared" si="135"/>
        <v>7.8871725684275015E-2</v>
      </c>
      <c r="L629" s="6">
        <f t="shared" si="125"/>
        <v>3.1548690273710007</v>
      </c>
      <c r="M629" s="4">
        <f t="shared" si="126"/>
        <v>18469307.363446243</v>
      </c>
      <c r="N629" s="4">
        <f t="shared" si="127"/>
        <v>1170844634.3230286</v>
      </c>
      <c r="O629" s="4">
        <f t="shared" si="128"/>
        <v>94108009595.35788</v>
      </c>
      <c r="P629" s="4">
        <f t="shared" si="129"/>
        <v>-7422461117.4981871</v>
      </c>
      <c r="Q629" s="4">
        <f t="shared" si="132"/>
        <v>0</v>
      </c>
      <c r="R629" s="4">
        <f t="shared" si="132"/>
        <v>0</v>
      </c>
      <c r="S629" s="4">
        <f t="shared" si="132"/>
        <v>0</v>
      </c>
      <c r="T629" s="3"/>
      <c r="U629" s="4">
        <f t="shared" si="130"/>
        <v>54000000</v>
      </c>
      <c r="V629">
        <f t="shared" si="131"/>
        <v>596589010693.60425</v>
      </c>
    </row>
    <row r="630" spans="1:22" x14ac:dyDescent="0.5">
      <c r="A630" s="3">
        <v>120</v>
      </c>
      <c r="B630" s="3">
        <v>1</v>
      </c>
      <c r="C630" s="3">
        <v>5</v>
      </c>
      <c r="D630" s="3">
        <v>40</v>
      </c>
      <c r="E630" s="3">
        <v>0.06</v>
      </c>
      <c r="F630" s="3">
        <f t="shared" si="124"/>
        <v>2.8409000509219249</v>
      </c>
      <c r="G630" s="5">
        <v>0.35</v>
      </c>
      <c r="H630" s="4">
        <v>20000000</v>
      </c>
      <c r="I630" s="4">
        <f t="shared" si="134"/>
        <v>20000000</v>
      </c>
      <c r="J630" s="3">
        <v>210000000000</v>
      </c>
      <c r="K630" s="4">
        <f t="shared" si="135"/>
        <v>7.8871725684275015E-2</v>
      </c>
      <c r="L630" s="6">
        <f t="shared" si="125"/>
        <v>3.1548690273710007</v>
      </c>
      <c r="M630" s="4">
        <f t="shared" si="126"/>
        <v>18469307.363446243</v>
      </c>
      <c r="N630" s="4">
        <f t="shared" si="127"/>
        <v>1170844634.3230286</v>
      </c>
      <c r="O630" s="4">
        <f t="shared" si="128"/>
        <v>94108009595.35788</v>
      </c>
      <c r="P630" s="4">
        <f t="shared" si="129"/>
        <v>-7422461117.4981871</v>
      </c>
      <c r="Q630" s="4">
        <f t="shared" si="132"/>
        <v>0</v>
      </c>
      <c r="R630" s="4">
        <f t="shared" si="132"/>
        <v>0</v>
      </c>
      <c r="S630" s="4">
        <f t="shared" si="132"/>
        <v>0</v>
      </c>
      <c r="T630" s="3"/>
      <c r="U630" s="4">
        <f t="shared" si="130"/>
        <v>54000000</v>
      </c>
      <c r="V630">
        <f t="shared" si="131"/>
        <v>596589010693.60425</v>
      </c>
    </row>
    <row r="631" spans="1:22" x14ac:dyDescent="0.5">
      <c r="A631" s="3">
        <v>120</v>
      </c>
      <c r="B631" s="3">
        <v>1</v>
      </c>
      <c r="C631" s="3">
        <v>5</v>
      </c>
      <c r="D631" s="3">
        <v>40</v>
      </c>
      <c r="E631" s="3">
        <v>0.06</v>
      </c>
      <c r="F631" s="3">
        <f t="shared" si="124"/>
        <v>2.8409000509219249</v>
      </c>
      <c r="G631" s="5">
        <v>0.35</v>
      </c>
      <c r="H631" s="4">
        <v>20000000</v>
      </c>
      <c r="I631" s="4">
        <f t="shared" si="134"/>
        <v>20000000</v>
      </c>
      <c r="J631" s="3">
        <v>210000000000</v>
      </c>
      <c r="K631" s="4">
        <f t="shared" si="135"/>
        <v>7.8871725684275015E-2</v>
      </c>
      <c r="L631" s="6">
        <f t="shared" si="125"/>
        <v>3.1548690273710007</v>
      </c>
      <c r="M631" s="4">
        <f t="shared" si="126"/>
        <v>18469307.363446243</v>
      </c>
      <c r="N631" s="4">
        <f t="shared" si="127"/>
        <v>1170844634.3230286</v>
      </c>
      <c r="O631" s="4">
        <f t="shared" si="128"/>
        <v>94108009595.35788</v>
      </c>
      <c r="P631" s="4">
        <f t="shared" si="129"/>
        <v>-7422461117.4981871</v>
      </c>
      <c r="Q631" s="4">
        <f t="shared" si="132"/>
        <v>0</v>
      </c>
      <c r="R631" s="4">
        <f t="shared" si="132"/>
        <v>0</v>
      </c>
      <c r="S631" s="4">
        <f t="shared" si="132"/>
        <v>0</v>
      </c>
      <c r="T631" s="3"/>
      <c r="U631" s="4">
        <f t="shared" si="130"/>
        <v>54000000</v>
      </c>
      <c r="V631">
        <f t="shared" si="131"/>
        <v>596589010693.60425</v>
      </c>
    </row>
    <row r="632" spans="1:22" x14ac:dyDescent="0.5">
      <c r="A632" s="3">
        <v>120</v>
      </c>
      <c r="B632" s="3">
        <v>1</v>
      </c>
      <c r="C632" s="3">
        <v>5</v>
      </c>
      <c r="D632" s="3">
        <v>40</v>
      </c>
      <c r="E632" s="3">
        <v>0.06</v>
      </c>
      <c r="F632" s="3">
        <f t="shared" si="124"/>
        <v>2.8409000509219249</v>
      </c>
      <c r="G632" s="5">
        <v>0.35</v>
      </c>
      <c r="H632" s="4">
        <v>20000000</v>
      </c>
      <c r="I632" s="4">
        <f t="shared" si="134"/>
        <v>20000000</v>
      </c>
      <c r="J632" s="3">
        <v>210000000000</v>
      </c>
      <c r="K632" s="4">
        <f t="shared" si="135"/>
        <v>7.8871725684275015E-2</v>
      </c>
      <c r="L632" s="6">
        <f t="shared" si="125"/>
        <v>3.1548690273710007</v>
      </c>
      <c r="M632" s="4">
        <f t="shared" si="126"/>
        <v>18469307.363446243</v>
      </c>
      <c r="N632" s="4">
        <f t="shared" si="127"/>
        <v>1170844634.3230286</v>
      </c>
      <c r="O632" s="4">
        <f t="shared" si="128"/>
        <v>94108009595.35788</v>
      </c>
      <c r="P632" s="4">
        <f t="shared" si="129"/>
        <v>-7422461117.4981871</v>
      </c>
      <c r="Q632" s="4">
        <f t="shared" si="132"/>
        <v>0</v>
      </c>
      <c r="R632" s="4">
        <f t="shared" si="132"/>
        <v>0</v>
      </c>
      <c r="S632" s="4">
        <f t="shared" si="132"/>
        <v>0</v>
      </c>
      <c r="T632" s="3"/>
      <c r="U632" s="4">
        <f t="shared" si="130"/>
        <v>54000000</v>
      </c>
      <c r="V632">
        <f t="shared" si="131"/>
        <v>596589010693.60425</v>
      </c>
    </row>
    <row r="633" spans="1:22" x14ac:dyDescent="0.5">
      <c r="A633" s="3">
        <v>120</v>
      </c>
      <c r="B633" s="3">
        <v>1</v>
      </c>
      <c r="C633" s="3">
        <v>5</v>
      </c>
      <c r="D633" s="3">
        <v>40</v>
      </c>
      <c r="E633" s="3">
        <v>0.06</v>
      </c>
      <c r="F633" s="3">
        <f t="shared" si="124"/>
        <v>2.8409000509219249</v>
      </c>
      <c r="G633" s="5">
        <v>0.35</v>
      </c>
      <c r="H633" s="4">
        <v>20000000</v>
      </c>
      <c r="I633" s="4">
        <f t="shared" si="134"/>
        <v>20000000</v>
      </c>
      <c r="J633" s="3">
        <v>210000000000</v>
      </c>
      <c r="K633" s="4">
        <f t="shared" si="135"/>
        <v>7.8871725684275015E-2</v>
      </c>
      <c r="L633" s="6">
        <f t="shared" si="125"/>
        <v>3.1548690273710007</v>
      </c>
      <c r="M633" s="4">
        <f t="shared" si="126"/>
        <v>18469307.363446243</v>
      </c>
      <c r="N633" s="4">
        <f t="shared" si="127"/>
        <v>1170844634.3230286</v>
      </c>
      <c r="O633" s="4">
        <f t="shared" si="128"/>
        <v>94108009595.35788</v>
      </c>
      <c r="P633" s="4">
        <f t="shared" si="129"/>
        <v>-7422461117.4981871</v>
      </c>
      <c r="Q633" s="4">
        <f t="shared" si="132"/>
        <v>0</v>
      </c>
      <c r="R633" s="4">
        <f t="shared" si="132"/>
        <v>0</v>
      </c>
      <c r="S633" s="4">
        <f t="shared" si="132"/>
        <v>0</v>
      </c>
      <c r="T633" s="3"/>
      <c r="U633" s="4">
        <f t="shared" si="130"/>
        <v>54000000</v>
      </c>
      <c r="V633">
        <f t="shared" si="131"/>
        <v>596589010693.60425</v>
      </c>
    </row>
    <row r="634" spans="1:22" x14ac:dyDescent="0.5">
      <c r="A634" s="3">
        <v>120</v>
      </c>
      <c r="B634" s="3">
        <v>1</v>
      </c>
      <c r="C634" s="3">
        <v>5</v>
      </c>
      <c r="D634" s="3">
        <v>40</v>
      </c>
      <c r="E634" s="3">
        <v>0.06</v>
      </c>
      <c r="F634" s="3">
        <f t="shared" si="124"/>
        <v>2.8409000509219249</v>
      </c>
      <c r="G634" s="5">
        <v>0.35</v>
      </c>
      <c r="H634" s="4">
        <v>20000000</v>
      </c>
      <c r="I634" s="4">
        <f t="shared" si="134"/>
        <v>20000000</v>
      </c>
      <c r="J634" s="3">
        <v>210000000000</v>
      </c>
      <c r="K634" s="4">
        <f t="shared" si="135"/>
        <v>7.8871725684275015E-2</v>
      </c>
      <c r="L634" s="6">
        <f t="shared" si="125"/>
        <v>3.1548690273710007</v>
      </c>
      <c r="M634" s="4">
        <f t="shared" si="126"/>
        <v>18469307.363446243</v>
      </c>
      <c r="N634" s="4">
        <f t="shared" si="127"/>
        <v>1170844634.3230286</v>
      </c>
      <c r="O634" s="4">
        <f t="shared" si="128"/>
        <v>94108009595.35788</v>
      </c>
      <c r="P634" s="4">
        <f t="shared" si="129"/>
        <v>-7422461117.4981871</v>
      </c>
      <c r="Q634" s="4">
        <f t="shared" si="132"/>
        <v>0</v>
      </c>
      <c r="R634" s="4">
        <f t="shared" si="132"/>
        <v>0</v>
      </c>
      <c r="S634" s="4">
        <f t="shared" si="132"/>
        <v>0</v>
      </c>
      <c r="T634" s="3"/>
      <c r="U634" s="4">
        <f t="shared" si="130"/>
        <v>54000000</v>
      </c>
      <c r="V634">
        <f t="shared" si="131"/>
        <v>596589010693.60425</v>
      </c>
    </row>
    <row r="635" spans="1:22" x14ac:dyDescent="0.5">
      <c r="A635" s="3">
        <v>120</v>
      </c>
      <c r="B635" s="3">
        <v>1</v>
      </c>
      <c r="C635" s="3">
        <v>5</v>
      </c>
      <c r="D635" s="3">
        <v>40</v>
      </c>
      <c r="E635" s="3">
        <v>0.06</v>
      </c>
      <c r="F635" s="3">
        <f t="shared" si="124"/>
        <v>2.8409000509219249</v>
      </c>
      <c r="G635" s="5">
        <v>0.35</v>
      </c>
      <c r="H635" s="4">
        <v>20000000</v>
      </c>
      <c r="I635" s="4">
        <f t="shared" si="134"/>
        <v>20000000</v>
      </c>
      <c r="J635" s="3">
        <v>210000000000</v>
      </c>
      <c r="K635" s="4">
        <f t="shared" si="135"/>
        <v>7.8871725684275015E-2</v>
      </c>
      <c r="L635" s="6">
        <f t="shared" si="125"/>
        <v>3.1548690273710007</v>
      </c>
      <c r="M635" s="4">
        <f t="shared" si="126"/>
        <v>18469307.363446243</v>
      </c>
      <c r="N635" s="4">
        <f t="shared" si="127"/>
        <v>1170844634.3230286</v>
      </c>
      <c r="O635" s="4">
        <f t="shared" si="128"/>
        <v>94108009595.35788</v>
      </c>
      <c r="P635" s="4">
        <f t="shared" si="129"/>
        <v>-7422461117.4981871</v>
      </c>
      <c r="Q635" s="4">
        <f t="shared" si="132"/>
        <v>0</v>
      </c>
      <c r="R635" s="4">
        <f t="shared" si="132"/>
        <v>0</v>
      </c>
      <c r="S635" s="4">
        <f t="shared" si="132"/>
        <v>0</v>
      </c>
      <c r="T635" s="3"/>
      <c r="U635" s="4">
        <f t="shared" si="130"/>
        <v>54000000</v>
      </c>
      <c r="V635">
        <f t="shared" si="131"/>
        <v>596589010693.60425</v>
      </c>
    </row>
    <row r="636" spans="1:22" x14ac:dyDescent="0.5">
      <c r="A636" s="3">
        <v>120</v>
      </c>
      <c r="B636" s="3">
        <v>0.99948783600000002</v>
      </c>
      <c r="C636" s="3">
        <v>5</v>
      </c>
      <c r="D636" s="3">
        <v>40</v>
      </c>
      <c r="E636" s="3">
        <v>0.06</v>
      </c>
      <c r="F636" s="3">
        <f t="shared" si="124"/>
        <v>2.8409000509219249</v>
      </c>
      <c r="G636" s="5">
        <v>0.35</v>
      </c>
      <c r="H636" s="4">
        <v>20000000</v>
      </c>
      <c r="I636" s="4">
        <f t="shared" si="134"/>
        <v>19989756.719999999</v>
      </c>
      <c r="J636" s="3">
        <v>210000000000</v>
      </c>
      <c r="K636" s="4">
        <f t="shared" si="135"/>
        <v>7.8871725684275015E-2</v>
      </c>
      <c r="L636" s="6">
        <f t="shared" si="125"/>
        <v>3.1548690273710007</v>
      </c>
      <c r="M636" s="4">
        <f t="shared" si="126"/>
        <v>18459059.991634566</v>
      </c>
      <c r="N636" s="4">
        <f t="shared" si="127"/>
        <v>1170195011.6779823</v>
      </c>
      <c r="O636" s="4">
        <f t="shared" si="128"/>
        <v>94055795413.970154</v>
      </c>
      <c r="P636" s="4">
        <f t="shared" si="129"/>
        <v>-7418342894.9069462</v>
      </c>
      <c r="Q636" s="4">
        <f t="shared" si="132"/>
        <v>649622.64504623413</v>
      </c>
      <c r="R636" s="4">
        <f t="shared" si="132"/>
        <v>52214181.38772583</v>
      </c>
      <c r="S636" s="4">
        <f t="shared" si="132"/>
        <v>-4118222.5912408829</v>
      </c>
      <c r="T636" s="3"/>
      <c r="U636" s="4">
        <f t="shared" si="130"/>
        <v>53972343.144000001</v>
      </c>
      <c r="V636">
        <f t="shared" si="131"/>
        <v>596589010693.60425</v>
      </c>
    </row>
    <row r="637" spans="1:22" x14ac:dyDescent="0.5">
      <c r="A637" s="3">
        <v>120</v>
      </c>
      <c r="B637" s="3">
        <v>0.99487836080000003</v>
      </c>
      <c r="C637" s="3">
        <v>5</v>
      </c>
      <c r="D637" s="3">
        <v>40</v>
      </c>
      <c r="E637" s="3">
        <v>0.06</v>
      </c>
      <c r="F637" s="3">
        <f t="shared" si="124"/>
        <v>2.8409000509219249</v>
      </c>
      <c r="G637" s="5">
        <v>0.35</v>
      </c>
      <c r="H637" s="4">
        <v>20000000</v>
      </c>
      <c r="I637" s="4">
        <f t="shared" si="134"/>
        <v>19897567.216000002</v>
      </c>
      <c r="J637" s="3">
        <v>210000000000</v>
      </c>
      <c r="K637" s="4">
        <f t="shared" si="135"/>
        <v>7.8871725684275015E-2</v>
      </c>
      <c r="L637" s="6">
        <f t="shared" si="125"/>
        <v>3.1548690273710007</v>
      </c>
      <c r="M637" s="4">
        <f t="shared" si="126"/>
        <v>18366853.376970418</v>
      </c>
      <c r="N637" s="4">
        <f t="shared" si="127"/>
        <v>1164349658.7416682</v>
      </c>
      <c r="O637" s="4">
        <f t="shared" si="128"/>
        <v>93585968321.550705</v>
      </c>
      <c r="P637" s="4">
        <f t="shared" si="129"/>
        <v>-7381286821.354598</v>
      </c>
      <c r="Q637" s="4">
        <f t="shared" si="132"/>
        <v>5845352.936314106</v>
      </c>
      <c r="R637" s="4">
        <f t="shared" si="132"/>
        <v>469827092.41944885</v>
      </c>
      <c r="S637" s="4">
        <f t="shared" si="132"/>
        <v>-37056073.552348137</v>
      </c>
      <c r="T637" s="3"/>
      <c r="U637" s="4">
        <f t="shared" si="130"/>
        <v>53723431.483200006</v>
      </c>
      <c r="V637">
        <f t="shared" si="131"/>
        <v>596589010693.60425</v>
      </c>
    </row>
    <row r="638" spans="1:22" x14ac:dyDescent="0.5">
      <c r="A638" s="3">
        <v>120</v>
      </c>
      <c r="B638" s="3">
        <v>0.98886043540000002</v>
      </c>
      <c r="C638" s="3">
        <v>5</v>
      </c>
      <c r="D638" s="3">
        <v>40</v>
      </c>
      <c r="E638" s="3">
        <v>0.06</v>
      </c>
      <c r="F638" s="3">
        <f t="shared" si="124"/>
        <v>2.8409000509219249</v>
      </c>
      <c r="G638" s="5">
        <v>0.35</v>
      </c>
      <c r="H638" s="4">
        <v>20000000</v>
      </c>
      <c r="I638" s="4">
        <f t="shared" si="134"/>
        <v>19777208.708000001</v>
      </c>
      <c r="J638" s="3">
        <v>210000000000</v>
      </c>
      <c r="K638" s="4">
        <f t="shared" si="135"/>
        <v>7.8871725684275015E-2</v>
      </c>
      <c r="L638" s="6">
        <f t="shared" si="125"/>
        <v>3.1548690273710007</v>
      </c>
      <c r="M638" s="4">
        <f t="shared" si="126"/>
        <v>18246526.123194605</v>
      </c>
      <c r="N638" s="4">
        <f t="shared" si="127"/>
        <v>1156721623.9337649</v>
      </c>
      <c r="O638" s="4">
        <f t="shared" si="128"/>
        <v>92972856084.579178</v>
      </c>
      <c r="P638" s="4">
        <f t="shared" si="129"/>
        <v>-7332929601.1865082</v>
      </c>
      <c r="Q638" s="4">
        <f t="shared" si="132"/>
        <v>7628034.8079032898</v>
      </c>
      <c r="R638" s="4">
        <f t="shared" si="132"/>
        <v>613112236.9715271</v>
      </c>
      <c r="S638" s="4">
        <f t="shared" si="132"/>
        <v>-48357220.168089867</v>
      </c>
      <c r="T638" s="3"/>
      <c r="U638" s="4">
        <f t="shared" si="130"/>
        <v>53398463.511600003</v>
      </c>
      <c r="V638">
        <f t="shared" si="131"/>
        <v>596589010693.60425</v>
      </c>
    </row>
    <row r="639" spans="1:22" x14ac:dyDescent="0.5">
      <c r="A639" s="3">
        <v>120</v>
      </c>
      <c r="B639" s="3">
        <v>0.98181818220000006</v>
      </c>
      <c r="C639" s="3">
        <v>5</v>
      </c>
      <c r="D639" s="3">
        <v>40</v>
      </c>
      <c r="E639" s="3">
        <v>0.06</v>
      </c>
      <c r="F639" s="3">
        <f t="shared" si="124"/>
        <v>2.8409000509219249</v>
      </c>
      <c r="G639" s="5">
        <v>0.35</v>
      </c>
      <c r="H639" s="4">
        <v>20000000</v>
      </c>
      <c r="I639" s="4">
        <f t="shared" si="134"/>
        <v>19636363.644000001</v>
      </c>
      <c r="J639" s="3">
        <v>210000000000</v>
      </c>
      <c r="K639" s="4">
        <f t="shared" si="135"/>
        <v>7.8871725684275015E-2</v>
      </c>
      <c r="L639" s="6">
        <f t="shared" si="125"/>
        <v>3.1548690273710007</v>
      </c>
      <c r="M639" s="4">
        <f t="shared" si="126"/>
        <v>18105795.126215562</v>
      </c>
      <c r="N639" s="4">
        <f t="shared" si="127"/>
        <v>1147800112.7231193</v>
      </c>
      <c r="O639" s="4">
        <f t="shared" si="128"/>
        <v>92255779165.913574</v>
      </c>
      <c r="P639" s="4">
        <f t="shared" si="129"/>
        <v>-7276372507.1629887</v>
      </c>
      <c r="Q639" s="4">
        <f t="shared" si="132"/>
        <v>8921511.2106456757</v>
      </c>
      <c r="R639" s="4">
        <f t="shared" si="132"/>
        <v>717076918.66560364</v>
      </c>
      <c r="S639" s="4">
        <f t="shared" si="132"/>
        <v>-56557094.023519516</v>
      </c>
      <c r="T639" s="3"/>
      <c r="U639" s="4">
        <f t="shared" si="130"/>
        <v>53018181.838800006</v>
      </c>
      <c r="V639">
        <f t="shared" si="131"/>
        <v>596589010693.60425</v>
      </c>
    </row>
    <row r="640" spans="1:22" x14ac:dyDescent="0.5">
      <c r="A640" s="3">
        <v>120</v>
      </c>
      <c r="B640" s="3">
        <v>0.97336747800000001</v>
      </c>
      <c r="C640" s="3">
        <v>5</v>
      </c>
      <c r="D640" s="3">
        <v>40</v>
      </c>
      <c r="E640" s="3">
        <v>0.06</v>
      </c>
      <c r="F640" s="3">
        <f t="shared" si="124"/>
        <v>2.8409000509219249</v>
      </c>
      <c r="G640" s="5">
        <v>0.35</v>
      </c>
      <c r="H640" s="4">
        <v>20000000</v>
      </c>
      <c r="I640" s="4">
        <f t="shared" si="134"/>
        <v>19467349.559999999</v>
      </c>
      <c r="J640" s="3">
        <v>210000000000</v>
      </c>
      <c r="K640" s="4">
        <f t="shared" si="135"/>
        <v>7.8871725684275015E-2</v>
      </c>
      <c r="L640" s="6">
        <f t="shared" si="125"/>
        <v>3.1548690273710007</v>
      </c>
      <c r="M640" s="4">
        <f t="shared" si="126"/>
        <v>17937028.975043371</v>
      </c>
      <c r="N640" s="4">
        <f t="shared" si="127"/>
        <v>1137101338.8781192</v>
      </c>
      <c r="O640" s="4">
        <f t="shared" si="128"/>
        <v>91395852680.23941</v>
      </c>
      <c r="P640" s="4">
        <f t="shared" si="129"/>
        <v>-7208548621.2762547</v>
      </c>
      <c r="Q640" s="4">
        <f t="shared" si="132"/>
        <v>10698773.845000029</v>
      </c>
      <c r="R640" s="4">
        <f t="shared" si="132"/>
        <v>859926485.67416382</v>
      </c>
      <c r="S640" s="4">
        <f t="shared" si="132"/>
        <v>-67823885.886734009</v>
      </c>
      <c r="T640" s="3"/>
      <c r="U640" s="4">
        <f t="shared" si="130"/>
        <v>52561843.811999999</v>
      </c>
      <c r="V640">
        <f t="shared" si="131"/>
        <v>596589010693.60425</v>
      </c>
    </row>
    <row r="641" spans="1:22" x14ac:dyDescent="0.5">
      <c r="A641" s="3">
        <v>120</v>
      </c>
      <c r="B641" s="3">
        <v>0.96414852780000004</v>
      </c>
      <c r="C641" s="3">
        <v>5</v>
      </c>
      <c r="D641" s="3">
        <v>40</v>
      </c>
      <c r="E641" s="3">
        <v>0.06</v>
      </c>
      <c r="F641" s="3">
        <f t="shared" si="124"/>
        <v>2.8409000509219249</v>
      </c>
      <c r="G641" s="5">
        <v>0.35</v>
      </c>
      <c r="H641" s="4">
        <v>20000000</v>
      </c>
      <c r="I641" s="4">
        <f t="shared" si="134"/>
        <v>19282970.556000002</v>
      </c>
      <c r="J641" s="3">
        <v>210000000000</v>
      </c>
      <c r="K641" s="4">
        <f t="shared" si="135"/>
        <v>7.8871725684275015E-2</v>
      </c>
      <c r="L641" s="6">
        <f t="shared" si="125"/>
        <v>3.1548690273710007</v>
      </c>
      <c r="M641" s="4">
        <f t="shared" si="126"/>
        <v>17753059.684255198</v>
      </c>
      <c r="N641" s="4">
        <f t="shared" si="127"/>
        <v>1125438776.078073</v>
      </c>
      <c r="O641" s="4">
        <f t="shared" si="128"/>
        <v>90458460527.840149</v>
      </c>
      <c r="P641" s="4">
        <f t="shared" si="129"/>
        <v>-7134614884.5736265</v>
      </c>
      <c r="Q641" s="4">
        <f t="shared" si="132"/>
        <v>11662562.800046206</v>
      </c>
      <c r="R641" s="4">
        <f t="shared" si="132"/>
        <v>937392152.39926147</v>
      </c>
      <c r="S641" s="4">
        <f t="shared" si="132"/>
        <v>-73933736.702628136</v>
      </c>
      <c r="T641" s="3"/>
      <c r="U641" s="4">
        <f t="shared" si="130"/>
        <v>52064020.501200005</v>
      </c>
      <c r="V641">
        <f t="shared" si="131"/>
        <v>596589010693.60425</v>
      </c>
    </row>
    <row r="642" spans="1:22" x14ac:dyDescent="0.5">
      <c r="A642" s="3">
        <v>120</v>
      </c>
      <c r="B642" s="3">
        <v>0.95313700359999998</v>
      </c>
      <c r="C642" s="3">
        <v>5</v>
      </c>
      <c r="D642" s="3">
        <v>40</v>
      </c>
      <c r="E642" s="3">
        <v>0.06</v>
      </c>
      <c r="F642" s="3">
        <f t="shared" si="124"/>
        <v>2.8409000509219249</v>
      </c>
      <c r="G642" s="5">
        <v>0.35</v>
      </c>
      <c r="H642" s="4">
        <v>20000000</v>
      </c>
      <c r="I642" s="4">
        <f t="shared" si="134"/>
        <v>19062740.072000001</v>
      </c>
      <c r="J642" s="3">
        <v>210000000000</v>
      </c>
      <c r="K642" s="4">
        <f t="shared" si="135"/>
        <v>7.8871725684275015E-2</v>
      </c>
      <c r="L642" s="6">
        <f t="shared" si="125"/>
        <v>3.1548690273710007</v>
      </c>
      <c r="M642" s="4">
        <f t="shared" si="126"/>
        <v>17533510.731327724</v>
      </c>
      <c r="N642" s="4">
        <f t="shared" si="127"/>
        <v>1111520673.5500307</v>
      </c>
      <c r="O642" s="4">
        <f t="shared" si="128"/>
        <v>89339776726.538452</v>
      </c>
      <c r="P642" s="4">
        <f t="shared" si="129"/>
        <v>-7046382362.6699171</v>
      </c>
      <c r="Q642" s="4">
        <f t="shared" si="132"/>
        <v>13918102.528042316</v>
      </c>
      <c r="R642" s="4">
        <f t="shared" si="132"/>
        <v>1118683801.3016968</v>
      </c>
      <c r="S642" s="4">
        <f t="shared" si="132"/>
        <v>-88232521.903709412</v>
      </c>
      <c r="T642" s="3"/>
      <c r="U642" s="4">
        <f t="shared" si="130"/>
        <v>51469398.194400005</v>
      </c>
      <c r="V642">
        <f t="shared" si="131"/>
        <v>596589010693.60425</v>
      </c>
    </row>
    <row r="643" spans="1:22" x14ac:dyDescent="0.5">
      <c r="A643" s="3">
        <v>120</v>
      </c>
      <c r="B643" s="3">
        <v>0.94097311139999995</v>
      </c>
      <c r="C643" s="3">
        <v>5</v>
      </c>
      <c r="D643" s="3">
        <v>40</v>
      </c>
      <c r="E643" s="3">
        <v>0.06</v>
      </c>
      <c r="F643" s="3">
        <f t="shared" ref="F643:F706" si="136">(3.141592*((C643^4)-(C643-(2*E643))^4))/64</f>
        <v>2.8409000509219249</v>
      </c>
      <c r="G643" s="5">
        <v>0.35</v>
      </c>
      <c r="H643" s="4">
        <v>20000000</v>
      </c>
      <c r="I643" s="4">
        <f t="shared" si="134"/>
        <v>18819462.228</v>
      </c>
      <c r="J643" s="3">
        <v>210000000000</v>
      </c>
      <c r="K643" s="4">
        <f t="shared" si="135"/>
        <v>7.8871725684275015E-2</v>
      </c>
      <c r="L643" s="6">
        <f t="shared" ref="L643:L706" si="137">K643*D643</f>
        <v>3.1548690273710007</v>
      </c>
      <c r="M643" s="4">
        <f t="shared" ref="M643:M706" si="138">(0.65/C643)*(((2*U643*(1+G643)*C643^4)/(J643*F643))^(1/12))*((2*U643*(1+G643))/(1-G643^2))</f>
        <v>17291231.426618967</v>
      </c>
      <c r="N643" s="4">
        <f t="shared" ref="N643:N706" si="139">IF(L643&gt;=2.5,M643*C643/K643,M643*C643*D643)</f>
        <v>1096161601.4233091</v>
      </c>
      <c r="O643" s="4">
        <f t="shared" ref="O643:O706" si="140">IF(L643&gt;=2.5,M643*C643/(2*K643^3),M643*C643*(D643^3)/3)</f>
        <v>88105273305.072083</v>
      </c>
      <c r="P643" s="4">
        <f t="shared" ref="P643:P706" si="141">IF(L643&gt;=2.5,-(M643*C643/(2*K643^2)),-(M643*C643*(D643^2)/2))</f>
        <v>-6949014947.4557228</v>
      </c>
      <c r="Q643" s="4">
        <f t="shared" si="132"/>
        <v>15359072.126721621</v>
      </c>
      <c r="R643" s="4">
        <f t="shared" si="132"/>
        <v>1234503421.4663696</v>
      </c>
      <c r="S643" s="4">
        <f t="shared" si="132"/>
        <v>-97367415.214194298</v>
      </c>
      <c r="T643" s="3"/>
      <c r="U643" s="4">
        <f t="shared" ref="U643:U706" si="142">2*I643*(G643+1)</f>
        <v>50812548.015600003</v>
      </c>
      <c r="V643">
        <f t="shared" ref="V643:V706" si="143">J643*F643</f>
        <v>596589010693.60425</v>
      </c>
    </row>
    <row r="644" spans="1:22" x14ac:dyDescent="0.5">
      <c r="A644" s="3">
        <v>120</v>
      </c>
      <c r="B644" s="3">
        <v>0.92509603100000004</v>
      </c>
      <c r="C644" s="3">
        <v>5</v>
      </c>
      <c r="D644" s="3">
        <v>40</v>
      </c>
      <c r="E644" s="3">
        <v>0.06</v>
      </c>
      <c r="F644" s="3">
        <f t="shared" si="136"/>
        <v>2.8409000509219249</v>
      </c>
      <c r="G644" s="5">
        <v>0.35</v>
      </c>
      <c r="H644" s="4">
        <v>20000000</v>
      </c>
      <c r="I644" s="4">
        <f t="shared" si="134"/>
        <v>18501920.620000001</v>
      </c>
      <c r="J644" s="3">
        <v>210000000000</v>
      </c>
      <c r="K644" s="4">
        <f t="shared" si="135"/>
        <v>7.8871725684275015E-2</v>
      </c>
      <c r="L644" s="6">
        <f t="shared" si="137"/>
        <v>3.1548690273710007</v>
      </c>
      <c r="M644" s="4">
        <f t="shared" si="138"/>
        <v>16975386.113438647</v>
      </c>
      <c r="N644" s="4">
        <f t="shared" si="139"/>
        <v>1076138880.3252153</v>
      </c>
      <c r="O644" s="4">
        <f t="shared" si="140"/>
        <v>86495923632.206161</v>
      </c>
      <c r="P644" s="4">
        <f t="shared" si="141"/>
        <v>-6822082761.5273647</v>
      </c>
      <c r="Q644" s="4">
        <f t="shared" ref="Q644:S707" si="144">N643-N644</f>
        <v>20022721.098093748</v>
      </c>
      <c r="R644" s="4">
        <f t="shared" si="144"/>
        <v>1609349672.865921</v>
      </c>
      <c r="S644" s="4">
        <f t="shared" si="144"/>
        <v>-126932185.92835808</v>
      </c>
      <c r="T644" s="3"/>
      <c r="U644" s="4">
        <f t="shared" si="142"/>
        <v>49955185.674000002</v>
      </c>
      <c r="V644">
        <f t="shared" si="143"/>
        <v>596589010693.60425</v>
      </c>
    </row>
    <row r="645" spans="1:22" x14ac:dyDescent="0.5">
      <c r="A645" s="3">
        <v>120</v>
      </c>
      <c r="B645" s="3">
        <v>0.90806658160000009</v>
      </c>
      <c r="C645" s="3">
        <v>5</v>
      </c>
      <c r="D645" s="3">
        <v>40</v>
      </c>
      <c r="E645" s="3">
        <v>0.06</v>
      </c>
      <c r="F645" s="3">
        <f t="shared" si="136"/>
        <v>2.8409000509219249</v>
      </c>
      <c r="G645" s="5">
        <v>0.35</v>
      </c>
      <c r="H645" s="4">
        <v>20000000</v>
      </c>
      <c r="I645" s="4">
        <f t="shared" si="134"/>
        <v>18161331.632000003</v>
      </c>
      <c r="J645" s="3">
        <v>210000000000</v>
      </c>
      <c r="K645" s="4">
        <f t="shared" si="135"/>
        <v>7.8871725684275015E-2</v>
      </c>
      <c r="L645" s="6">
        <f t="shared" si="137"/>
        <v>3.1548690273710007</v>
      </c>
      <c r="M645" s="4">
        <f t="shared" si="138"/>
        <v>16637118.493782522</v>
      </c>
      <c r="N645" s="4">
        <f t="shared" si="139"/>
        <v>1054694717.8752762</v>
      </c>
      <c r="O645" s="4">
        <f t="shared" si="140"/>
        <v>84772323944.899994</v>
      </c>
      <c r="P645" s="4">
        <f t="shared" si="141"/>
        <v>-6686139479.8006506</v>
      </c>
      <c r="Q645" s="4">
        <f t="shared" si="144"/>
        <v>21444162.449939132</v>
      </c>
      <c r="R645" s="4">
        <f t="shared" si="144"/>
        <v>1723599687.3061676</v>
      </c>
      <c r="S645" s="4">
        <f t="shared" si="144"/>
        <v>-135943281.72671413</v>
      </c>
      <c r="T645" s="3"/>
      <c r="U645" s="4">
        <f t="shared" si="142"/>
        <v>49035595.40640001</v>
      </c>
      <c r="V645">
        <f t="shared" si="143"/>
        <v>596589010693.60425</v>
      </c>
    </row>
    <row r="646" spans="1:22" x14ac:dyDescent="0.5">
      <c r="A646" s="3">
        <v>120</v>
      </c>
      <c r="B646" s="3">
        <v>0.88834827139999994</v>
      </c>
      <c r="C646" s="3">
        <v>5</v>
      </c>
      <c r="D646" s="3">
        <v>40</v>
      </c>
      <c r="E646" s="3">
        <v>0.06</v>
      </c>
      <c r="F646" s="3">
        <f t="shared" si="136"/>
        <v>2.8409000509219249</v>
      </c>
      <c r="G646" s="5">
        <v>0.35</v>
      </c>
      <c r="H646" s="4">
        <v>20000000</v>
      </c>
      <c r="I646" s="4">
        <f t="shared" si="134"/>
        <v>17766965.427999999</v>
      </c>
      <c r="J646" s="3">
        <v>210000000000</v>
      </c>
      <c r="K646" s="4">
        <f t="shared" si="135"/>
        <v>7.8871725684275015E-2</v>
      </c>
      <c r="L646" s="6">
        <f t="shared" si="137"/>
        <v>3.1548690273710007</v>
      </c>
      <c r="M646" s="4">
        <f t="shared" si="138"/>
        <v>16246100.751784744</v>
      </c>
      <c r="N646" s="4">
        <f t="shared" si="139"/>
        <v>1029906510.2758236</v>
      </c>
      <c r="O646" s="4">
        <f t="shared" si="140"/>
        <v>82779942709.818542</v>
      </c>
      <c r="P646" s="4">
        <f t="shared" si="141"/>
        <v>-6528996933.5688086</v>
      </c>
      <c r="Q646" s="4">
        <f t="shared" si="144"/>
        <v>24788207.599452615</v>
      </c>
      <c r="R646" s="4">
        <f t="shared" si="144"/>
        <v>1992381235.0814514</v>
      </c>
      <c r="S646" s="4">
        <f t="shared" si="144"/>
        <v>-157142546.23184204</v>
      </c>
      <c r="T646" s="3"/>
      <c r="U646" s="4">
        <f t="shared" si="142"/>
        <v>47970806.655600004</v>
      </c>
      <c r="V646">
        <f t="shared" si="143"/>
        <v>596589010693.60425</v>
      </c>
    </row>
    <row r="647" spans="1:22" x14ac:dyDescent="0.5">
      <c r="A647" s="3">
        <v>120</v>
      </c>
      <c r="B647" s="3">
        <v>0.86453265019999992</v>
      </c>
      <c r="C647" s="3">
        <v>5</v>
      </c>
      <c r="D647" s="3">
        <v>40</v>
      </c>
      <c r="E647" s="3">
        <v>0.06</v>
      </c>
      <c r="F647" s="3">
        <f t="shared" si="136"/>
        <v>2.8409000509219249</v>
      </c>
      <c r="G647" s="5">
        <v>0.35</v>
      </c>
      <c r="H647" s="4">
        <v>20000000</v>
      </c>
      <c r="I647" s="4">
        <f t="shared" si="134"/>
        <v>17290653.003999997</v>
      </c>
      <c r="J647" s="3">
        <v>210000000000</v>
      </c>
      <c r="K647" s="4">
        <f t="shared" si="135"/>
        <v>7.8871725684275015E-2</v>
      </c>
      <c r="L647" s="6">
        <f t="shared" si="137"/>
        <v>3.1548690273710007</v>
      </c>
      <c r="M647" s="4">
        <f t="shared" si="138"/>
        <v>15774797.456186246</v>
      </c>
      <c r="N647" s="4">
        <f t="shared" si="139"/>
        <v>1000028674.3650731</v>
      </c>
      <c r="O647" s="4">
        <f t="shared" si="140"/>
        <v>80378476634.686249</v>
      </c>
      <c r="P647" s="4">
        <f t="shared" si="141"/>
        <v>-6339589160.0508814</v>
      </c>
      <c r="Q647" s="4">
        <f t="shared" si="144"/>
        <v>29877835.910750508</v>
      </c>
      <c r="R647" s="4">
        <f t="shared" si="144"/>
        <v>2401466075.1322937</v>
      </c>
      <c r="S647" s="4">
        <f t="shared" si="144"/>
        <v>-189407773.51792717</v>
      </c>
      <c r="T647" s="3"/>
      <c r="U647" s="4">
        <f t="shared" si="142"/>
        <v>46684763.110799998</v>
      </c>
      <c r="V647">
        <f t="shared" si="143"/>
        <v>596589010693.60425</v>
      </c>
    </row>
    <row r="648" spans="1:22" x14ac:dyDescent="0.5">
      <c r="A648" s="3">
        <v>120</v>
      </c>
      <c r="B648" s="3">
        <v>0.83764404579999996</v>
      </c>
      <c r="C648" s="3">
        <v>5</v>
      </c>
      <c r="D648" s="3">
        <v>40</v>
      </c>
      <c r="E648" s="3">
        <v>0.06</v>
      </c>
      <c r="F648" s="3">
        <f t="shared" si="136"/>
        <v>2.8409000509219249</v>
      </c>
      <c r="G648" s="5">
        <v>0.35</v>
      </c>
      <c r="H648" s="4">
        <v>20000000</v>
      </c>
      <c r="I648" s="4">
        <f t="shared" si="134"/>
        <v>16752880.915999999</v>
      </c>
      <c r="J648" s="3">
        <v>210000000000</v>
      </c>
      <c r="K648" s="4">
        <f t="shared" si="135"/>
        <v>7.8871725684275015E-2</v>
      </c>
      <c r="L648" s="6">
        <f t="shared" si="137"/>
        <v>3.1548690273710007</v>
      </c>
      <c r="M648" s="4">
        <f t="shared" si="138"/>
        <v>15243981.278239306</v>
      </c>
      <c r="N648" s="4">
        <f t="shared" si="139"/>
        <v>966378074.39774096</v>
      </c>
      <c r="O648" s="4">
        <f t="shared" si="140"/>
        <v>77673770227.207794</v>
      </c>
      <c r="P648" s="4">
        <f t="shared" si="141"/>
        <v>-6126264298.2237406</v>
      </c>
      <c r="Q648" s="4">
        <f t="shared" si="144"/>
        <v>33650599.967332125</v>
      </c>
      <c r="R648" s="4">
        <f t="shared" si="144"/>
        <v>2704706407.4784546</v>
      </c>
      <c r="S648" s="4">
        <f t="shared" si="144"/>
        <v>-213324861.82714081</v>
      </c>
      <c r="T648" s="3"/>
      <c r="U648" s="4">
        <f t="shared" si="142"/>
        <v>45232778.473200001</v>
      </c>
      <c r="V648">
        <f t="shared" si="143"/>
        <v>596589010693.60425</v>
      </c>
    </row>
    <row r="649" spans="1:22" x14ac:dyDescent="0.5">
      <c r="A649" s="3">
        <v>120</v>
      </c>
      <c r="B649" s="3">
        <v>0.8075544174</v>
      </c>
      <c r="C649" s="3">
        <v>5</v>
      </c>
      <c r="D649" s="3">
        <v>40</v>
      </c>
      <c r="E649" s="3">
        <v>0.06</v>
      </c>
      <c r="F649" s="3">
        <f t="shared" si="136"/>
        <v>2.8409000509219249</v>
      </c>
      <c r="G649" s="5">
        <v>0.35</v>
      </c>
      <c r="H649" s="4">
        <v>20000000</v>
      </c>
      <c r="I649" s="4">
        <f t="shared" si="134"/>
        <v>16151088.347999999</v>
      </c>
      <c r="J649" s="3">
        <v>210000000000</v>
      </c>
      <c r="K649" s="4">
        <f t="shared" si="135"/>
        <v>7.8871725684275015E-2</v>
      </c>
      <c r="L649" s="6">
        <f t="shared" si="137"/>
        <v>3.1548690273710007</v>
      </c>
      <c r="M649" s="4">
        <f t="shared" si="138"/>
        <v>14651656.298832782</v>
      </c>
      <c r="N649" s="4">
        <f t="shared" si="139"/>
        <v>928828180.93036485</v>
      </c>
      <c r="O649" s="4">
        <f t="shared" si="140"/>
        <v>74655653535.08522</v>
      </c>
      <c r="P649" s="4">
        <f t="shared" si="141"/>
        <v>-5888220226.3995171</v>
      </c>
      <c r="Q649" s="4">
        <f t="shared" si="144"/>
        <v>37549893.467376113</v>
      </c>
      <c r="R649" s="4">
        <f t="shared" si="144"/>
        <v>3018116692.1225739</v>
      </c>
      <c r="S649" s="4">
        <f t="shared" si="144"/>
        <v>-238044071.82422352</v>
      </c>
      <c r="T649" s="3"/>
      <c r="U649" s="4">
        <f t="shared" si="142"/>
        <v>43607938.5396</v>
      </c>
      <c r="V649">
        <f t="shared" si="143"/>
        <v>596589010693.60425</v>
      </c>
    </row>
    <row r="650" spans="1:22" x14ac:dyDescent="0.5">
      <c r="A650" s="3">
        <v>120</v>
      </c>
      <c r="B650" s="3">
        <v>0.77298335480000002</v>
      </c>
      <c r="C650" s="3">
        <v>5</v>
      </c>
      <c r="D650" s="3">
        <v>40</v>
      </c>
      <c r="E650" s="3">
        <v>0.06</v>
      </c>
      <c r="F650" s="3">
        <f t="shared" si="136"/>
        <v>2.8409000509219249</v>
      </c>
      <c r="G650" s="5">
        <v>0.35</v>
      </c>
      <c r="H650" s="4">
        <v>20000000</v>
      </c>
      <c r="I650" s="4">
        <f t="shared" si="134"/>
        <v>15459667.096000001</v>
      </c>
      <c r="J650" s="3">
        <v>210000000000</v>
      </c>
      <c r="K650" s="4">
        <f t="shared" si="135"/>
        <v>7.8871725684275015E-2</v>
      </c>
      <c r="L650" s="6">
        <f t="shared" si="137"/>
        <v>3.1548690273710007</v>
      </c>
      <c r="M650" s="4">
        <f t="shared" si="138"/>
        <v>13973384.066052474</v>
      </c>
      <c r="N650" s="4">
        <f t="shared" si="139"/>
        <v>885829740.93835533</v>
      </c>
      <c r="O650" s="4">
        <f t="shared" si="140"/>
        <v>71199603530.899048</v>
      </c>
      <c r="P650" s="4">
        <f t="shared" si="141"/>
        <v>-5615635598.5182085</v>
      </c>
      <c r="Q650" s="4">
        <f t="shared" si="144"/>
        <v>42998439.992009521</v>
      </c>
      <c r="R650" s="4">
        <f t="shared" si="144"/>
        <v>3456050004.1861725</v>
      </c>
      <c r="S650" s="4">
        <f t="shared" si="144"/>
        <v>-272584627.88130856</v>
      </c>
      <c r="T650" s="3"/>
      <c r="U650" s="4">
        <f t="shared" si="142"/>
        <v>41741101.159200005</v>
      </c>
      <c r="V650">
        <f t="shared" si="143"/>
        <v>596589010693.60425</v>
      </c>
    </row>
    <row r="651" spans="1:22" x14ac:dyDescent="0.5">
      <c r="A651" s="3">
        <v>120</v>
      </c>
      <c r="B651" s="3">
        <v>0.73444302139999995</v>
      </c>
      <c r="C651" s="3">
        <v>5</v>
      </c>
      <c r="D651" s="3">
        <v>40</v>
      </c>
      <c r="E651" s="3">
        <v>0.06</v>
      </c>
      <c r="F651" s="3">
        <f t="shared" si="136"/>
        <v>2.8409000509219249</v>
      </c>
      <c r="G651" s="5">
        <v>0.35</v>
      </c>
      <c r="H651" s="4">
        <v>20000000</v>
      </c>
      <c r="I651" s="4">
        <f t="shared" si="134"/>
        <v>14688860.427999999</v>
      </c>
      <c r="J651" s="3">
        <v>210000000000</v>
      </c>
      <c r="K651" s="4">
        <f t="shared" si="135"/>
        <v>7.8871725684275015E-2</v>
      </c>
      <c r="L651" s="6">
        <f t="shared" si="137"/>
        <v>3.1548690273710007</v>
      </c>
      <c r="M651" s="4">
        <f t="shared" si="138"/>
        <v>13220216.267534971</v>
      </c>
      <c r="N651" s="4">
        <f t="shared" si="139"/>
        <v>838083365.92353404</v>
      </c>
      <c r="O651" s="4">
        <f t="shared" si="140"/>
        <v>67361932685.154137</v>
      </c>
      <c r="P651" s="4">
        <f t="shared" si="141"/>
        <v>-5312951876.306076</v>
      </c>
      <c r="Q651" s="4">
        <f t="shared" si="144"/>
        <v>47746375.014821291</v>
      </c>
      <c r="R651" s="4">
        <f t="shared" si="144"/>
        <v>3837670845.7449112</v>
      </c>
      <c r="S651" s="4">
        <f t="shared" si="144"/>
        <v>-302683722.21213245</v>
      </c>
      <c r="T651" s="3"/>
      <c r="U651" s="4">
        <f t="shared" si="142"/>
        <v>39659923.155600004</v>
      </c>
      <c r="V651">
        <f t="shared" si="143"/>
        <v>596589010693.60425</v>
      </c>
    </row>
    <row r="652" spans="1:22" x14ac:dyDescent="0.5">
      <c r="A652" s="3">
        <v>120</v>
      </c>
      <c r="B652" s="3">
        <v>0.69270166500000008</v>
      </c>
      <c r="C652" s="3">
        <v>5</v>
      </c>
      <c r="D652" s="3">
        <v>40</v>
      </c>
      <c r="E652" s="3">
        <v>0.06</v>
      </c>
      <c r="F652" s="3">
        <f t="shared" si="136"/>
        <v>2.8409000509219249</v>
      </c>
      <c r="G652" s="5">
        <v>0.35</v>
      </c>
      <c r="H652" s="4">
        <v>20000000</v>
      </c>
      <c r="I652" s="4">
        <f t="shared" si="134"/>
        <v>13854033.300000001</v>
      </c>
      <c r="J652" s="3">
        <v>210000000000</v>
      </c>
      <c r="K652" s="4">
        <f t="shared" si="135"/>
        <v>7.8871725684275015E-2</v>
      </c>
      <c r="L652" s="6">
        <f t="shared" si="137"/>
        <v>3.1548690273710007</v>
      </c>
      <c r="M652" s="4">
        <f t="shared" si="138"/>
        <v>12408206.894741029</v>
      </c>
      <c r="N652" s="4">
        <f t="shared" si="139"/>
        <v>786606783.80560052</v>
      </c>
      <c r="O652" s="4">
        <f t="shared" si="140"/>
        <v>63224442072.070633</v>
      </c>
      <c r="P652" s="4">
        <f t="shared" si="141"/>
        <v>-4986620851.6496906</v>
      </c>
      <c r="Q652" s="4">
        <f t="shared" si="144"/>
        <v>51476582.117933512</v>
      </c>
      <c r="R652" s="4">
        <f t="shared" si="144"/>
        <v>4137490613.0835037</v>
      </c>
      <c r="S652" s="4">
        <f t="shared" si="144"/>
        <v>-326331024.65638542</v>
      </c>
      <c r="T652" s="3"/>
      <c r="U652" s="4">
        <f t="shared" si="142"/>
        <v>37405889.910000004</v>
      </c>
      <c r="V652">
        <f t="shared" si="143"/>
        <v>596589010693.60425</v>
      </c>
    </row>
    <row r="653" spans="1:22" x14ac:dyDescent="0.5">
      <c r="A653" s="3">
        <v>120</v>
      </c>
      <c r="B653" s="3">
        <v>0.64967989780000002</v>
      </c>
      <c r="C653" s="3">
        <v>5</v>
      </c>
      <c r="D653" s="3">
        <v>40</v>
      </c>
      <c r="E653" s="3">
        <v>0.06</v>
      </c>
      <c r="F653" s="3">
        <f t="shared" si="136"/>
        <v>2.8409000509219249</v>
      </c>
      <c r="G653" s="5">
        <v>0.35</v>
      </c>
      <c r="H653" s="4">
        <v>20000000</v>
      </c>
      <c r="I653" s="4">
        <f t="shared" si="134"/>
        <v>12993597.956</v>
      </c>
      <c r="J653" s="3">
        <v>210000000000</v>
      </c>
      <c r="K653" s="4">
        <f t="shared" si="135"/>
        <v>7.8871725684275015E-2</v>
      </c>
      <c r="L653" s="6">
        <f t="shared" si="137"/>
        <v>3.1548690273710007</v>
      </c>
      <c r="M653" s="4">
        <f t="shared" si="138"/>
        <v>11575550.582609871</v>
      </c>
      <c r="N653" s="4">
        <f t="shared" si="139"/>
        <v>733821308.09125543</v>
      </c>
      <c r="O653" s="4">
        <f t="shared" si="140"/>
        <v>58981747602.284462</v>
      </c>
      <c r="P653" s="4">
        <f t="shared" si="141"/>
        <v>-4651992217.2665253</v>
      </c>
      <c r="Q653" s="4">
        <f t="shared" si="144"/>
        <v>52785475.714345098</v>
      </c>
      <c r="R653" s="4">
        <f t="shared" si="144"/>
        <v>4242694469.786171</v>
      </c>
      <c r="S653" s="4">
        <f t="shared" si="144"/>
        <v>-334628634.38316536</v>
      </c>
      <c r="T653" s="3"/>
      <c r="U653" s="4">
        <f t="shared" si="142"/>
        <v>35082714.481200002</v>
      </c>
      <c r="V653">
        <f t="shared" si="143"/>
        <v>596589010693.60425</v>
      </c>
    </row>
    <row r="654" spans="1:22" x14ac:dyDescent="0.5">
      <c r="A654" s="3">
        <v>120</v>
      </c>
      <c r="B654" s="3">
        <v>0.60499359799999997</v>
      </c>
      <c r="C654" s="3">
        <v>5</v>
      </c>
      <c r="D654" s="3">
        <v>40</v>
      </c>
      <c r="E654" s="3">
        <v>0.06</v>
      </c>
      <c r="F654" s="3">
        <f t="shared" si="136"/>
        <v>2.8409000509219249</v>
      </c>
      <c r="G654" s="5">
        <v>0.35</v>
      </c>
      <c r="H654" s="4">
        <v>20000000</v>
      </c>
      <c r="I654" s="4">
        <f t="shared" si="134"/>
        <v>12099871.959999999</v>
      </c>
      <c r="J654" s="3">
        <v>210000000000</v>
      </c>
      <c r="K654" s="4">
        <f t="shared" si="135"/>
        <v>7.8871725684275015E-2</v>
      </c>
      <c r="L654" s="6">
        <f t="shared" si="137"/>
        <v>3.1548690273710007</v>
      </c>
      <c r="M654" s="4">
        <f t="shared" si="138"/>
        <v>10715537.308888448</v>
      </c>
      <c r="N654" s="4">
        <f t="shared" si="139"/>
        <v>679301563.13448393</v>
      </c>
      <c r="O654" s="4">
        <f t="shared" si="140"/>
        <v>54599659209.749908</v>
      </c>
      <c r="P654" s="4">
        <f t="shared" si="141"/>
        <v>-4306369343.6462946</v>
      </c>
      <c r="Q654" s="4">
        <f t="shared" si="144"/>
        <v>54519744.956771493</v>
      </c>
      <c r="R654" s="4">
        <f t="shared" si="144"/>
        <v>4382088392.5345535</v>
      </c>
      <c r="S654" s="4">
        <f t="shared" si="144"/>
        <v>-345622873.62023067</v>
      </c>
      <c r="T654" s="3"/>
      <c r="U654" s="4">
        <f t="shared" si="142"/>
        <v>32669654.291999999</v>
      </c>
      <c r="V654">
        <f t="shared" si="143"/>
        <v>596589010693.60425</v>
      </c>
    </row>
    <row r="655" spans="1:22" x14ac:dyDescent="0.5">
      <c r="A655" s="3">
        <v>120</v>
      </c>
      <c r="B655" s="3">
        <v>0.5571062738</v>
      </c>
      <c r="C655" s="3">
        <v>5</v>
      </c>
      <c r="D655" s="3">
        <v>40</v>
      </c>
      <c r="E655" s="3">
        <v>0.06</v>
      </c>
      <c r="F655" s="3">
        <f t="shared" si="136"/>
        <v>2.8409000509219249</v>
      </c>
      <c r="G655" s="5">
        <v>0.35</v>
      </c>
      <c r="H655" s="4">
        <v>20000000</v>
      </c>
      <c r="I655" s="4">
        <f t="shared" si="134"/>
        <v>11142125.476</v>
      </c>
      <c r="J655" s="3">
        <v>210000000000</v>
      </c>
      <c r="K655" s="4">
        <f t="shared" si="135"/>
        <v>7.8871725684275015E-2</v>
      </c>
      <c r="L655" s="6">
        <f t="shared" si="137"/>
        <v>3.1548690273710007</v>
      </c>
      <c r="M655" s="4">
        <f t="shared" si="138"/>
        <v>9799791.344014626</v>
      </c>
      <c r="N655" s="4">
        <f t="shared" si="139"/>
        <v>621248695.84085011</v>
      </c>
      <c r="O655" s="4">
        <f t="shared" si="140"/>
        <v>49933591968.927536</v>
      </c>
      <c r="P655" s="4">
        <f t="shared" si="141"/>
        <v>-3938348568.2037706</v>
      </c>
      <c r="Q655" s="4">
        <f t="shared" si="144"/>
        <v>58052867.293633819</v>
      </c>
      <c r="R655" s="4">
        <f t="shared" si="144"/>
        <v>4666067240.8223724</v>
      </c>
      <c r="S655" s="4">
        <f t="shared" si="144"/>
        <v>-368020775.44252396</v>
      </c>
      <c r="T655" s="3"/>
      <c r="U655" s="4">
        <f t="shared" si="142"/>
        <v>30083738.7852</v>
      </c>
      <c r="V655">
        <f t="shared" si="143"/>
        <v>596589010693.60425</v>
      </c>
    </row>
    <row r="656" spans="1:22" x14ac:dyDescent="0.5">
      <c r="A656" s="3">
        <v>120</v>
      </c>
      <c r="B656" s="3">
        <v>0.50524968000000003</v>
      </c>
      <c r="C656" s="3">
        <v>5</v>
      </c>
      <c r="D656" s="3">
        <v>40</v>
      </c>
      <c r="E656" s="3">
        <v>0.06</v>
      </c>
      <c r="F656" s="3">
        <f t="shared" si="136"/>
        <v>2.8409000509219249</v>
      </c>
      <c r="G656" s="5">
        <v>0.35</v>
      </c>
      <c r="H656" s="4">
        <v>20000000</v>
      </c>
      <c r="I656" s="4">
        <f t="shared" si="134"/>
        <v>10104993.600000001</v>
      </c>
      <c r="J656" s="3">
        <v>210000000000</v>
      </c>
      <c r="K656" s="4">
        <f t="shared" si="135"/>
        <v>7.8871725684275015E-2</v>
      </c>
      <c r="L656" s="6">
        <f t="shared" si="137"/>
        <v>3.1548690273710007</v>
      </c>
      <c r="M656" s="4">
        <f t="shared" si="138"/>
        <v>8815538.0956011079</v>
      </c>
      <c r="N656" s="4">
        <f t="shared" si="139"/>
        <v>558852872.75758815</v>
      </c>
      <c r="O656" s="4">
        <f t="shared" si="140"/>
        <v>44918454567.008308</v>
      </c>
      <c r="P656" s="4">
        <f t="shared" si="141"/>
        <v>-3542796026.7706494</v>
      </c>
      <c r="Q656" s="4">
        <f t="shared" si="144"/>
        <v>62395823.083261967</v>
      </c>
      <c r="R656" s="4">
        <f t="shared" si="144"/>
        <v>5015137401.9192276</v>
      </c>
      <c r="S656" s="4">
        <f t="shared" si="144"/>
        <v>-395552541.4331212</v>
      </c>
      <c r="T656" s="3"/>
      <c r="U656" s="4">
        <f t="shared" si="142"/>
        <v>27283482.720000006</v>
      </c>
      <c r="V656">
        <f t="shared" si="143"/>
        <v>596589010693.60425</v>
      </c>
    </row>
    <row r="657" spans="1:22" x14ac:dyDescent="0.5">
      <c r="A657" s="3">
        <v>120</v>
      </c>
      <c r="B657" s="3">
        <v>0.44865556959999997</v>
      </c>
      <c r="C657" s="3">
        <v>5</v>
      </c>
      <c r="D657" s="3">
        <v>40</v>
      </c>
      <c r="E657" s="3">
        <v>0.06</v>
      </c>
      <c r="F657" s="3">
        <f t="shared" si="136"/>
        <v>2.8409000509219249</v>
      </c>
      <c r="G657" s="5">
        <v>0.35</v>
      </c>
      <c r="H657" s="4">
        <v>20000000</v>
      </c>
      <c r="I657" s="4">
        <f t="shared" si="134"/>
        <v>8973111.3919999991</v>
      </c>
      <c r="J657" s="3">
        <v>210000000000</v>
      </c>
      <c r="K657" s="4">
        <f t="shared" si="135"/>
        <v>7.8871725684275015E-2</v>
      </c>
      <c r="L657" s="6">
        <f t="shared" si="137"/>
        <v>3.1548690273710007</v>
      </c>
      <c r="M657" s="4">
        <f t="shared" si="138"/>
        <v>7750976.6318081161</v>
      </c>
      <c r="N657" s="4">
        <f t="shared" si="139"/>
        <v>491365984.74055326</v>
      </c>
      <c r="O657" s="4">
        <f t="shared" si="140"/>
        <v>39494116854.823219</v>
      </c>
      <c r="P657" s="4">
        <f t="shared" si="141"/>
        <v>-3114969150.7163191</v>
      </c>
      <c r="Q657" s="4">
        <f t="shared" si="144"/>
        <v>67486888.017034888</v>
      </c>
      <c r="R657" s="4">
        <f t="shared" si="144"/>
        <v>5424337712.1850891</v>
      </c>
      <c r="S657" s="4">
        <f t="shared" si="144"/>
        <v>-427826876.05433035</v>
      </c>
      <c r="T657" s="3"/>
      <c r="U657" s="4">
        <f t="shared" si="142"/>
        <v>24227400.758400001</v>
      </c>
      <c r="V657">
        <f t="shared" si="143"/>
        <v>596589010693.60425</v>
      </c>
    </row>
    <row r="658" spans="1:22" x14ac:dyDescent="0.5">
      <c r="A658" s="3">
        <v>120</v>
      </c>
      <c r="B658" s="3">
        <v>0.39257362359999998</v>
      </c>
      <c r="C658" s="3">
        <v>5</v>
      </c>
      <c r="D658" s="3">
        <v>40</v>
      </c>
      <c r="E658" s="3">
        <v>0.06</v>
      </c>
      <c r="F658" s="3">
        <f t="shared" si="136"/>
        <v>2.8409000509219249</v>
      </c>
      <c r="G658" s="5">
        <v>0.35</v>
      </c>
      <c r="H658" s="4">
        <v>20000000</v>
      </c>
      <c r="I658" s="4">
        <f t="shared" si="134"/>
        <v>7851472.4719999991</v>
      </c>
      <c r="J658" s="3">
        <v>210000000000</v>
      </c>
      <c r="K658" s="4">
        <f t="shared" si="135"/>
        <v>7.8871725684275015E-2</v>
      </c>
      <c r="L658" s="6">
        <f t="shared" si="137"/>
        <v>3.1548690273710007</v>
      </c>
      <c r="M658" s="4">
        <f t="shared" si="138"/>
        <v>6707054.2410095353</v>
      </c>
      <c r="N658" s="4">
        <f t="shared" si="139"/>
        <v>425187491.64041358</v>
      </c>
      <c r="O658" s="4">
        <f t="shared" si="140"/>
        <v>34174942917.390266</v>
      </c>
      <c r="P658" s="4">
        <f t="shared" si="141"/>
        <v>-2695436723.0561624</v>
      </c>
      <c r="Q658" s="4">
        <f t="shared" si="144"/>
        <v>66178493.100139678</v>
      </c>
      <c r="R658" s="4">
        <f t="shared" si="144"/>
        <v>5319173937.4329529</v>
      </c>
      <c r="S658" s="4">
        <f t="shared" si="144"/>
        <v>-419532427.66015673</v>
      </c>
      <c r="T658" s="3"/>
      <c r="U658" s="4">
        <f t="shared" si="142"/>
        <v>21198975.674399998</v>
      </c>
      <c r="V658">
        <f t="shared" si="143"/>
        <v>596589010693.60425</v>
      </c>
    </row>
    <row r="659" spans="1:22" x14ac:dyDescent="0.5">
      <c r="A659" s="3">
        <v>120</v>
      </c>
      <c r="B659" s="3">
        <v>0.328553137</v>
      </c>
      <c r="C659" s="3">
        <v>5</v>
      </c>
      <c r="D659" s="3">
        <v>40</v>
      </c>
      <c r="E659" s="3">
        <v>0.06</v>
      </c>
      <c r="F659" s="3">
        <f t="shared" si="136"/>
        <v>2.8409000509219249</v>
      </c>
      <c r="G659" s="5">
        <v>0.35</v>
      </c>
      <c r="H659" s="4">
        <v>20000000</v>
      </c>
      <c r="I659" s="4">
        <f t="shared" si="134"/>
        <v>6571062.7400000002</v>
      </c>
      <c r="J659" s="3">
        <v>210000000000</v>
      </c>
      <c r="K659" s="4">
        <f t="shared" si="135"/>
        <v>7.8871725684275015E-2</v>
      </c>
      <c r="L659" s="6">
        <f t="shared" si="137"/>
        <v>3.1548690273710007</v>
      </c>
      <c r="M659" s="4">
        <f t="shared" si="138"/>
        <v>5530614.1675476432</v>
      </c>
      <c r="N659" s="4">
        <f t="shared" si="139"/>
        <v>350608162.78363138</v>
      </c>
      <c r="O659" s="4">
        <f t="shared" si="140"/>
        <v>28180541961.086235</v>
      </c>
      <c r="P659" s="4">
        <f t="shared" si="141"/>
        <v>-2222647975.1889949</v>
      </c>
      <c r="Q659" s="4">
        <f t="shared" si="144"/>
        <v>74579328.856782198</v>
      </c>
      <c r="R659" s="4">
        <f t="shared" si="144"/>
        <v>5994400956.3040314</v>
      </c>
      <c r="S659" s="4">
        <f t="shared" si="144"/>
        <v>-472788747.86716747</v>
      </c>
      <c r="T659" s="3"/>
      <c r="U659" s="4">
        <f t="shared" si="142"/>
        <v>17741869.398000002</v>
      </c>
      <c r="V659">
        <f t="shared" si="143"/>
        <v>596589010693.60425</v>
      </c>
    </row>
    <row r="660" spans="1:22" x14ac:dyDescent="0.5">
      <c r="A660" s="3">
        <v>120</v>
      </c>
      <c r="B660" s="3">
        <v>0.27925736240000004</v>
      </c>
      <c r="C660" s="3">
        <v>5</v>
      </c>
      <c r="D660" s="3">
        <v>40</v>
      </c>
      <c r="E660" s="3">
        <v>0.06</v>
      </c>
      <c r="F660" s="3">
        <f t="shared" si="136"/>
        <v>2.8409000509219249</v>
      </c>
      <c r="G660" s="5">
        <v>0.35</v>
      </c>
      <c r="H660" s="4">
        <v>20000000</v>
      </c>
      <c r="I660" s="4">
        <f t="shared" si="134"/>
        <v>5585147.2480000006</v>
      </c>
      <c r="J660" s="3">
        <v>210000000000</v>
      </c>
      <c r="K660" s="4">
        <f t="shared" si="135"/>
        <v>7.8871725684275015E-2</v>
      </c>
      <c r="L660" s="6">
        <f t="shared" si="137"/>
        <v>3.1548690273710007</v>
      </c>
      <c r="M660" s="4">
        <f t="shared" si="138"/>
        <v>4637553.7895999961</v>
      </c>
      <c r="N660" s="4">
        <f t="shared" si="139"/>
        <v>293993427.26214778</v>
      </c>
      <c r="O660" s="4">
        <f t="shared" si="140"/>
        <v>23630066246.795612</v>
      </c>
      <c r="P660" s="4">
        <f t="shared" si="141"/>
        <v>-1863744102.9185095</v>
      </c>
      <c r="Q660" s="4">
        <f t="shared" si="144"/>
        <v>56614735.5214836</v>
      </c>
      <c r="R660" s="4">
        <f t="shared" si="144"/>
        <v>4550475714.2906227</v>
      </c>
      <c r="S660" s="4">
        <f t="shared" si="144"/>
        <v>-358903872.2704854</v>
      </c>
      <c r="T660" s="3"/>
      <c r="U660" s="4">
        <f t="shared" si="142"/>
        <v>15079897.569600003</v>
      </c>
      <c r="V660">
        <f t="shared" si="143"/>
        <v>596589010693.60425</v>
      </c>
    </row>
    <row r="661" spans="1:22" x14ac:dyDescent="0.5">
      <c r="A661" s="3">
        <v>120</v>
      </c>
      <c r="B661" s="3">
        <v>0.2341869402</v>
      </c>
      <c r="C661" s="3">
        <v>5</v>
      </c>
      <c r="D661" s="3">
        <v>40</v>
      </c>
      <c r="E661" s="3">
        <v>0.06</v>
      </c>
      <c r="F661" s="3">
        <f t="shared" si="136"/>
        <v>2.8409000509219249</v>
      </c>
      <c r="G661" s="5">
        <v>0.35</v>
      </c>
      <c r="H661" s="4">
        <v>20000000</v>
      </c>
      <c r="I661" s="4">
        <f t="shared" si="134"/>
        <v>4683738.8039999995</v>
      </c>
      <c r="J661" s="3">
        <v>210000000000</v>
      </c>
      <c r="K661" s="4">
        <f t="shared" si="135"/>
        <v>7.8871725684275015E-2</v>
      </c>
      <c r="L661" s="6">
        <f t="shared" si="137"/>
        <v>3.1548690273710007</v>
      </c>
      <c r="M661" s="4">
        <f t="shared" si="138"/>
        <v>3832452.9968216419</v>
      </c>
      <c r="N661" s="4">
        <f t="shared" si="139"/>
        <v>242954808.17568406</v>
      </c>
      <c r="O661" s="4">
        <f t="shared" si="140"/>
        <v>19527777425.614929</v>
      </c>
      <c r="P661" s="4">
        <f t="shared" si="141"/>
        <v>-1540189504.3366787</v>
      </c>
      <c r="Q661" s="4">
        <f t="shared" si="144"/>
        <v>51038619.08646372</v>
      </c>
      <c r="R661" s="4">
        <f t="shared" si="144"/>
        <v>4102288821.1806831</v>
      </c>
      <c r="S661" s="4">
        <f t="shared" si="144"/>
        <v>-323554598.58183074</v>
      </c>
      <c r="T661" s="3"/>
      <c r="U661" s="4">
        <f t="shared" si="142"/>
        <v>12646094.7708</v>
      </c>
      <c r="V661">
        <f t="shared" si="143"/>
        <v>596589010693.60425</v>
      </c>
    </row>
    <row r="662" spans="1:22" x14ac:dyDescent="0.5">
      <c r="A662" s="3">
        <v>140</v>
      </c>
      <c r="B662" s="3">
        <v>1</v>
      </c>
      <c r="C662" s="3">
        <v>5</v>
      </c>
      <c r="D662" s="3">
        <v>20</v>
      </c>
      <c r="E662" s="3">
        <v>0.06</v>
      </c>
      <c r="F662" s="3">
        <f t="shared" si="136"/>
        <v>2.8409000509219249</v>
      </c>
      <c r="G662" s="5">
        <v>0.35</v>
      </c>
      <c r="H662" s="4">
        <v>20000000</v>
      </c>
      <c r="I662" s="4">
        <f>B662*$H$662</f>
        <v>20000000</v>
      </c>
      <c r="J662" s="3">
        <v>210000000000</v>
      </c>
      <c r="K662" s="4">
        <f>(($M$662*C662)/(4*J662*F662))^(1/4)</f>
        <v>7.8871725684275015E-2</v>
      </c>
      <c r="L662" s="6">
        <f t="shared" si="137"/>
        <v>1.5774345136855004</v>
      </c>
      <c r="M662" s="4">
        <f t="shared" si="138"/>
        <v>18469307.363446243</v>
      </c>
      <c r="N662" s="4">
        <f t="shared" si="139"/>
        <v>1846930736.344624</v>
      </c>
      <c r="O662" s="4">
        <f t="shared" si="140"/>
        <v>246257431512.61655</v>
      </c>
      <c r="P662" s="4">
        <f t="shared" si="141"/>
        <v>-18469307363.446243</v>
      </c>
      <c r="Q662" s="4">
        <f>N662</f>
        <v>1846930736.344624</v>
      </c>
      <c r="R662" s="4">
        <f t="shared" ref="R662:S662" si="145">O662</f>
        <v>246257431512.61655</v>
      </c>
      <c r="S662" s="4">
        <f t="shared" si="145"/>
        <v>-18469307363.446243</v>
      </c>
      <c r="T662" s="3"/>
      <c r="U662" s="4">
        <f t="shared" si="142"/>
        <v>54000000</v>
      </c>
      <c r="V662">
        <f t="shared" si="143"/>
        <v>596589010693.60425</v>
      </c>
    </row>
    <row r="663" spans="1:22" x14ac:dyDescent="0.5">
      <c r="A663" s="3">
        <v>140</v>
      </c>
      <c r="B663" s="3">
        <v>1</v>
      </c>
      <c r="C663" s="3">
        <v>5</v>
      </c>
      <c r="D663" s="3">
        <v>20</v>
      </c>
      <c r="E663" s="3">
        <v>0.06</v>
      </c>
      <c r="F663" s="3">
        <f t="shared" si="136"/>
        <v>2.8409000509219249</v>
      </c>
      <c r="G663" s="5">
        <v>0.35</v>
      </c>
      <c r="H663" s="4">
        <v>20000000</v>
      </c>
      <c r="I663" s="4">
        <f t="shared" ref="I663:I705" si="146">B663*$H$662</f>
        <v>20000000</v>
      </c>
      <c r="J663" s="3">
        <v>210000000000</v>
      </c>
      <c r="K663" s="4">
        <f t="shared" ref="K663:K705" si="147">(($M$662*C663)/(4*J663*F663))^(1/4)</f>
        <v>7.8871725684275015E-2</v>
      </c>
      <c r="L663" s="6">
        <f t="shared" si="137"/>
        <v>1.5774345136855004</v>
      </c>
      <c r="M663" s="4">
        <f t="shared" si="138"/>
        <v>18469307.363446243</v>
      </c>
      <c r="N663" s="4">
        <f t="shared" si="139"/>
        <v>1846930736.344624</v>
      </c>
      <c r="O663" s="4">
        <f t="shared" si="140"/>
        <v>246257431512.61655</v>
      </c>
      <c r="P663" s="4">
        <f t="shared" si="141"/>
        <v>-18469307363.446243</v>
      </c>
      <c r="Q663" s="4">
        <f t="shared" si="144"/>
        <v>0</v>
      </c>
      <c r="R663" s="4">
        <f t="shared" si="144"/>
        <v>0</v>
      </c>
      <c r="S663" s="4">
        <f t="shared" si="144"/>
        <v>0</v>
      </c>
      <c r="T663" s="3"/>
      <c r="U663" s="4">
        <f t="shared" si="142"/>
        <v>54000000</v>
      </c>
      <c r="V663">
        <f t="shared" si="143"/>
        <v>596589010693.60425</v>
      </c>
    </row>
    <row r="664" spans="1:22" x14ac:dyDescent="0.5">
      <c r="A664" s="3">
        <v>140</v>
      </c>
      <c r="B664" s="3">
        <v>1</v>
      </c>
      <c r="C664" s="3">
        <v>5</v>
      </c>
      <c r="D664" s="3">
        <v>20</v>
      </c>
      <c r="E664" s="3">
        <v>0.06</v>
      </c>
      <c r="F664" s="3">
        <f t="shared" si="136"/>
        <v>2.8409000509219249</v>
      </c>
      <c r="G664" s="5">
        <v>0.35</v>
      </c>
      <c r="H664" s="4">
        <v>20000000</v>
      </c>
      <c r="I664" s="4">
        <f t="shared" si="146"/>
        <v>20000000</v>
      </c>
      <c r="J664" s="3">
        <v>210000000000</v>
      </c>
      <c r="K664" s="4">
        <f t="shared" si="147"/>
        <v>7.8871725684275015E-2</v>
      </c>
      <c r="L664" s="6">
        <f t="shared" si="137"/>
        <v>1.5774345136855004</v>
      </c>
      <c r="M664" s="4">
        <f t="shared" si="138"/>
        <v>18469307.363446243</v>
      </c>
      <c r="N664" s="4">
        <f t="shared" si="139"/>
        <v>1846930736.344624</v>
      </c>
      <c r="O664" s="4">
        <f t="shared" si="140"/>
        <v>246257431512.61655</v>
      </c>
      <c r="P664" s="4">
        <f t="shared" si="141"/>
        <v>-18469307363.446243</v>
      </c>
      <c r="Q664" s="4">
        <f t="shared" si="144"/>
        <v>0</v>
      </c>
      <c r="R664" s="4">
        <f t="shared" si="144"/>
        <v>0</v>
      </c>
      <c r="S664" s="4">
        <f t="shared" si="144"/>
        <v>0</v>
      </c>
      <c r="T664" s="3"/>
      <c r="U664" s="4">
        <f t="shared" si="142"/>
        <v>54000000</v>
      </c>
      <c r="V664">
        <f t="shared" si="143"/>
        <v>596589010693.60425</v>
      </c>
    </row>
    <row r="665" spans="1:22" x14ac:dyDescent="0.5">
      <c r="A665" s="3">
        <v>140</v>
      </c>
      <c r="B665" s="3">
        <v>1</v>
      </c>
      <c r="C665" s="3">
        <v>5</v>
      </c>
      <c r="D665" s="3">
        <v>20</v>
      </c>
      <c r="E665" s="3">
        <v>0.06</v>
      </c>
      <c r="F665" s="3">
        <f t="shared" si="136"/>
        <v>2.8409000509219249</v>
      </c>
      <c r="G665" s="5">
        <v>0.35</v>
      </c>
      <c r="H665" s="4">
        <v>20000000</v>
      </c>
      <c r="I665" s="4">
        <f t="shared" si="146"/>
        <v>20000000</v>
      </c>
      <c r="J665" s="3">
        <v>210000000000</v>
      </c>
      <c r="K665" s="4">
        <f t="shared" si="147"/>
        <v>7.8871725684275015E-2</v>
      </c>
      <c r="L665" s="6">
        <f t="shared" si="137"/>
        <v>1.5774345136855004</v>
      </c>
      <c r="M665" s="4">
        <f t="shared" si="138"/>
        <v>18469307.363446243</v>
      </c>
      <c r="N665" s="4">
        <f t="shared" si="139"/>
        <v>1846930736.344624</v>
      </c>
      <c r="O665" s="4">
        <f t="shared" si="140"/>
        <v>246257431512.61655</v>
      </c>
      <c r="P665" s="4">
        <f t="shared" si="141"/>
        <v>-18469307363.446243</v>
      </c>
      <c r="Q665" s="4">
        <f t="shared" si="144"/>
        <v>0</v>
      </c>
      <c r="R665" s="4">
        <f t="shared" si="144"/>
        <v>0</v>
      </c>
      <c r="S665" s="4">
        <f t="shared" si="144"/>
        <v>0</v>
      </c>
      <c r="T665" s="3"/>
      <c r="U665" s="4">
        <f t="shared" si="142"/>
        <v>54000000</v>
      </c>
      <c r="V665">
        <f t="shared" si="143"/>
        <v>596589010693.60425</v>
      </c>
    </row>
    <row r="666" spans="1:22" x14ac:dyDescent="0.5">
      <c r="A666" s="3">
        <v>140</v>
      </c>
      <c r="B666" s="3">
        <v>1</v>
      </c>
      <c r="C666" s="3">
        <v>5</v>
      </c>
      <c r="D666" s="3">
        <v>20</v>
      </c>
      <c r="E666" s="3">
        <v>0.06</v>
      </c>
      <c r="F666" s="3">
        <f t="shared" si="136"/>
        <v>2.8409000509219249</v>
      </c>
      <c r="G666" s="5">
        <v>0.35</v>
      </c>
      <c r="H666" s="4">
        <v>20000000</v>
      </c>
      <c r="I666" s="4">
        <f t="shared" si="146"/>
        <v>20000000</v>
      </c>
      <c r="J666" s="3">
        <v>210000000000</v>
      </c>
      <c r="K666" s="4">
        <f t="shared" si="147"/>
        <v>7.8871725684275015E-2</v>
      </c>
      <c r="L666" s="6">
        <f t="shared" si="137"/>
        <v>1.5774345136855004</v>
      </c>
      <c r="M666" s="4">
        <f t="shared" si="138"/>
        <v>18469307.363446243</v>
      </c>
      <c r="N666" s="4">
        <f t="shared" si="139"/>
        <v>1846930736.344624</v>
      </c>
      <c r="O666" s="4">
        <f t="shared" si="140"/>
        <v>246257431512.61655</v>
      </c>
      <c r="P666" s="4">
        <f t="shared" si="141"/>
        <v>-18469307363.446243</v>
      </c>
      <c r="Q666" s="4">
        <f t="shared" si="144"/>
        <v>0</v>
      </c>
      <c r="R666" s="4">
        <f t="shared" si="144"/>
        <v>0</v>
      </c>
      <c r="S666" s="4">
        <f t="shared" si="144"/>
        <v>0</v>
      </c>
      <c r="T666" s="3"/>
      <c r="U666" s="4">
        <f t="shared" si="142"/>
        <v>54000000</v>
      </c>
      <c r="V666">
        <f t="shared" si="143"/>
        <v>596589010693.60425</v>
      </c>
    </row>
    <row r="667" spans="1:22" x14ac:dyDescent="0.5">
      <c r="A667" s="3">
        <v>140</v>
      </c>
      <c r="B667" s="3">
        <v>1</v>
      </c>
      <c r="C667" s="3">
        <v>5</v>
      </c>
      <c r="D667" s="3">
        <v>20</v>
      </c>
      <c r="E667" s="3">
        <v>0.06</v>
      </c>
      <c r="F667" s="3">
        <f t="shared" si="136"/>
        <v>2.8409000509219249</v>
      </c>
      <c r="G667" s="5">
        <v>0.35</v>
      </c>
      <c r="H667" s="4">
        <v>20000000</v>
      </c>
      <c r="I667" s="4">
        <f t="shared" si="146"/>
        <v>20000000</v>
      </c>
      <c r="J667" s="3">
        <v>210000000000</v>
      </c>
      <c r="K667" s="4">
        <f t="shared" si="147"/>
        <v>7.8871725684275015E-2</v>
      </c>
      <c r="L667" s="6">
        <f t="shared" si="137"/>
        <v>1.5774345136855004</v>
      </c>
      <c r="M667" s="4">
        <f t="shared" si="138"/>
        <v>18469307.363446243</v>
      </c>
      <c r="N667" s="4">
        <f t="shared" si="139"/>
        <v>1846930736.344624</v>
      </c>
      <c r="O667" s="4">
        <f t="shared" si="140"/>
        <v>246257431512.61655</v>
      </c>
      <c r="P667" s="4">
        <f t="shared" si="141"/>
        <v>-18469307363.446243</v>
      </c>
      <c r="Q667" s="4">
        <f t="shared" si="144"/>
        <v>0</v>
      </c>
      <c r="R667" s="4">
        <f t="shared" si="144"/>
        <v>0</v>
      </c>
      <c r="S667" s="4">
        <f t="shared" si="144"/>
        <v>0</v>
      </c>
      <c r="T667" s="3"/>
      <c r="U667" s="4">
        <f t="shared" si="142"/>
        <v>54000000</v>
      </c>
      <c r="V667">
        <f t="shared" si="143"/>
        <v>596589010693.60425</v>
      </c>
    </row>
    <row r="668" spans="1:22" x14ac:dyDescent="0.5">
      <c r="A668" s="3">
        <v>140</v>
      </c>
      <c r="B668" s="3">
        <v>1</v>
      </c>
      <c r="C668" s="3">
        <v>5</v>
      </c>
      <c r="D668" s="3">
        <v>20</v>
      </c>
      <c r="E668" s="3">
        <v>0.06</v>
      </c>
      <c r="F668" s="3">
        <f t="shared" si="136"/>
        <v>2.8409000509219249</v>
      </c>
      <c r="G668" s="5">
        <v>0.35</v>
      </c>
      <c r="H668" s="4">
        <v>20000000</v>
      </c>
      <c r="I668" s="4">
        <f t="shared" si="146"/>
        <v>20000000</v>
      </c>
      <c r="J668" s="3">
        <v>210000000000</v>
      </c>
      <c r="K668" s="4">
        <f t="shared" si="147"/>
        <v>7.8871725684275015E-2</v>
      </c>
      <c r="L668" s="6">
        <f t="shared" si="137"/>
        <v>1.5774345136855004</v>
      </c>
      <c r="M668" s="4">
        <f t="shared" si="138"/>
        <v>18469307.363446243</v>
      </c>
      <c r="N668" s="4">
        <f t="shared" si="139"/>
        <v>1846930736.344624</v>
      </c>
      <c r="O668" s="4">
        <f t="shared" si="140"/>
        <v>246257431512.61655</v>
      </c>
      <c r="P668" s="4">
        <f t="shared" si="141"/>
        <v>-18469307363.446243</v>
      </c>
      <c r="Q668" s="4">
        <f t="shared" si="144"/>
        <v>0</v>
      </c>
      <c r="R668" s="4">
        <f t="shared" si="144"/>
        <v>0</v>
      </c>
      <c r="S668" s="4">
        <f t="shared" si="144"/>
        <v>0</v>
      </c>
      <c r="T668" s="3"/>
      <c r="U668" s="4">
        <f t="shared" si="142"/>
        <v>54000000</v>
      </c>
      <c r="V668">
        <f t="shared" si="143"/>
        <v>596589010693.60425</v>
      </c>
    </row>
    <row r="669" spans="1:22" x14ac:dyDescent="0.5">
      <c r="A669" s="3">
        <v>140</v>
      </c>
      <c r="B669" s="3">
        <v>1</v>
      </c>
      <c r="C669" s="3">
        <v>5</v>
      </c>
      <c r="D669" s="3">
        <v>20</v>
      </c>
      <c r="E669" s="3">
        <v>0.06</v>
      </c>
      <c r="F669" s="3">
        <f t="shared" si="136"/>
        <v>2.8409000509219249</v>
      </c>
      <c r="G669" s="5">
        <v>0.35</v>
      </c>
      <c r="H669" s="4">
        <v>20000000</v>
      </c>
      <c r="I669" s="4">
        <f t="shared" si="146"/>
        <v>20000000</v>
      </c>
      <c r="J669" s="3">
        <v>210000000000</v>
      </c>
      <c r="K669" s="4">
        <f t="shared" si="147"/>
        <v>7.8871725684275015E-2</v>
      </c>
      <c r="L669" s="6">
        <f t="shared" si="137"/>
        <v>1.5774345136855004</v>
      </c>
      <c r="M669" s="4">
        <f t="shared" si="138"/>
        <v>18469307.363446243</v>
      </c>
      <c r="N669" s="4">
        <f t="shared" si="139"/>
        <v>1846930736.344624</v>
      </c>
      <c r="O669" s="4">
        <f t="shared" si="140"/>
        <v>246257431512.61655</v>
      </c>
      <c r="P669" s="4">
        <f t="shared" si="141"/>
        <v>-18469307363.446243</v>
      </c>
      <c r="Q669" s="4">
        <f t="shared" si="144"/>
        <v>0</v>
      </c>
      <c r="R669" s="4">
        <f t="shared" si="144"/>
        <v>0</v>
      </c>
      <c r="S669" s="4">
        <f t="shared" si="144"/>
        <v>0</v>
      </c>
      <c r="T669" s="3"/>
      <c r="U669" s="4">
        <f t="shared" si="142"/>
        <v>54000000</v>
      </c>
      <c r="V669">
        <f t="shared" si="143"/>
        <v>596589010693.60425</v>
      </c>
    </row>
    <row r="670" spans="1:22" x14ac:dyDescent="0.5">
      <c r="A670" s="3">
        <v>140</v>
      </c>
      <c r="B670" s="3">
        <v>1</v>
      </c>
      <c r="C670" s="3">
        <v>5</v>
      </c>
      <c r="D670" s="3">
        <v>20</v>
      </c>
      <c r="E670" s="3">
        <v>0.06</v>
      </c>
      <c r="F670" s="3">
        <f t="shared" si="136"/>
        <v>2.8409000509219249</v>
      </c>
      <c r="G670" s="5">
        <v>0.35</v>
      </c>
      <c r="H670" s="4">
        <v>20000000</v>
      </c>
      <c r="I670" s="4">
        <f t="shared" si="146"/>
        <v>20000000</v>
      </c>
      <c r="J670" s="3">
        <v>210000000000</v>
      </c>
      <c r="K670" s="4">
        <f t="shared" si="147"/>
        <v>7.8871725684275015E-2</v>
      </c>
      <c r="L670" s="6">
        <f t="shared" si="137"/>
        <v>1.5774345136855004</v>
      </c>
      <c r="M670" s="4">
        <f t="shared" si="138"/>
        <v>18469307.363446243</v>
      </c>
      <c r="N670" s="4">
        <f t="shared" si="139"/>
        <v>1846930736.344624</v>
      </c>
      <c r="O670" s="4">
        <f t="shared" si="140"/>
        <v>246257431512.61655</v>
      </c>
      <c r="P670" s="4">
        <f t="shared" si="141"/>
        <v>-18469307363.446243</v>
      </c>
      <c r="Q670" s="4">
        <f t="shared" si="144"/>
        <v>0</v>
      </c>
      <c r="R670" s="4">
        <f t="shared" si="144"/>
        <v>0</v>
      </c>
      <c r="S670" s="4">
        <f t="shared" si="144"/>
        <v>0</v>
      </c>
      <c r="T670" s="3"/>
      <c r="U670" s="4">
        <f t="shared" si="142"/>
        <v>54000000</v>
      </c>
      <c r="V670">
        <f t="shared" si="143"/>
        <v>596589010693.60425</v>
      </c>
    </row>
    <row r="671" spans="1:22" x14ac:dyDescent="0.5">
      <c r="A671" s="3">
        <v>140</v>
      </c>
      <c r="B671" s="3">
        <v>1</v>
      </c>
      <c r="C671" s="3">
        <v>5</v>
      </c>
      <c r="D671" s="3">
        <v>20</v>
      </c>
      <c r="E671" s="3">
        <v>0.06</v>
      </c>
      <c r="F671" s="3">
        <f t="shared" si="136"/>
        <v>2.8409000509219249</v>
      </c>
      <c r="G671" s="5">
        <v>0.35</v>
      </c>
      <c r="H671" s="4">
        <v>20000000</v>
      </c>
      <c r="I671" s="4">
        <f t="shared" si="146"/>
        <v>20000000</v>
      </c>
      <c r="J671" s="3">
        <v>210000000000</v>
      </c>
      <c r="K671" s="4">
        <f t="shared" si="147"/>
        <v>7.8871725684275015E-2</v>
      </c>
      <c r="L671" s="6">
        <f t="shared" si="137"/>
        <v>1.5774345136855004</v>
      </c>
      <c r="M671" s="4">
        <f t="shared" si="138"/>
        <v>18469307.363446243</v>
      </c>
      <c r="N671" s="4">
        <f t="shared" si="139"/>
        <v>1846930736.344624</v>
      </c>
      <c r="O671" s="4">
        <f t="shared" si="140"/>
        <v>246257431512.61655</v>
      </c>
      <c r="P671" s="4">
        <f t="shared" si="141"/>
        <v>-18469307363.446243</v>
      </c>
      <c r="Q671" s="4">
        <f t="shared" si="144"/>
        <v>0</v>
      </c>
      <c r="R671" s="4">
        <f t="shared" si="144"/>
        <v>0</v>
      </c>
      <c r="S671" s="4">
        <f t="shared" si="144"/>
        <v>0</v>
      </c>
      <c r="T671" s="3"/>
      <c r="U671" s="4">
        <f t="shared" si="142"/>
        <v>54000000</v>
      </c>
      <c r="V671">
        <f t="shared" si="143"/>
        <v>596589010693.60425</v>
      </c>
    </row>
    <row r="672" spans="1:22" x14ac:dyDescent="0.5">
      <c r="A672" s="3">
        <v>140</v>
      </c>
      <c r="B672" s="3">
        <v>1</v>
      </c>
      <c r="C672" s="3">
        <v>5</v>
      </c>
      <c r="D672" s="3">
        <v>20</v>
      </c>
      <c r="E672" s="3">
        <v>0.06</v>
      </c>
      <c r="F672" s="3">
        <f t="shared" si="136"/>
        <v>2.8409000509219249</v>
      </c>
      <c r="G672" s="5">
        <v>0.35</v>
      </c>
      <c r="H672" s="4">
        <v>20000000</v>
      </c>
      <c r="I672" s="4">
        <f t="shared" si="146"/>
        <v>20000000</v>
      </c>
      <c r="J672" s="3">
        <v>210000000000</v>
      </c>
      <c r="K672" s="4">
        <f t="shared" si="147"/>
        <v>7.8871725684275015E-2</v>
      </c>
      <c r="L672" s="6">
        <f t="shared" si="137"/>
        <v>1.5774345136855004</v>
      </c>
      <c r="M672" s="4">
        <f t="shared" si="138"/>
        <v>18469307.363446243</v>
      </c>
      <c r="N672" s="4">
        <f t="shared" si="139"/>
        <v>1846930736.344624</v>
      </c>
      <c r="O672" s="4">
        <f t="shared" si="140"/>
        <v>246257431512.61655</v>
      </c>
      <c r="P672" s="4">
        <f t="shared" si="141"/>
        <v>-18469307363.446243</v>
      </c>
      <c r="Q672" s="4">
        <f t="shared" si="144"/>
        <v>0</v>
      </c>
      <c r="R672" s="4">
        <f t="shared" si="144"/>
        <v>0</v>
      </c>
      <c r="S672" s="4">
        <f t="shared" si="144"/>
        <v>0</v>
      </c>
      <c r="T672" s="3"/>
      <c r="U672" s="4">
        <f t="shared" si="142"/>
        <v>54000000</v>
      </c>
      <c r="V672">
        <f t="shared" si="143"/>
        <v>596589010693.60425</v>
      </c>
    </row>
    <row r="673" spans="1:22" x14ac:dyDescent="0.5">
      <c r="A673" s="3">
        <v>140</v>
      </c>
      <c r="B673" s="3">
        <v>1</v>
      </c>
      <c r="C673" s="3">
        <v>5</v>
      </c>
      <c r="D673" s="3">
        <v>20</v>
      </c>
      <c r="E673" s="3">
        <v>0.06</v>
      </c>
      <c r="F673" s="3">
        <f t="shared" si="136"/>
        <v>2.8409000509219249</v>
      </c>
      <c r="G673" s="5">
        <v>0.35</v>
      </c>
      <c r="H673" s="4">
        <v>20000000</v>
      </c>
      <c r="I673" s="4">
        <f t="shared" si="146"/>
        <v>20000000</v>
      </c>
      <c r="J673" s="3">
        <v>210000000000</v>
      </c>
      <c r="K673" s="4">
        <f t="shared" si="147"/>
        <v>7.8871725684275015E-2</v>
      </c>
      <c r="L673" s="6">
        <f t="shared" si="137"/>
        <v>1.5774345136855004</v>
      </c>
      <c r="M673" s="4">
        <f t="shared" si="138"/>
        <v>18469307.363446243</v>
      </c>
      <c r="N673" s="4">
        <f t="shared" si="139"/>
        <v>1846930736.344624</v>
      </c>
      <c r="O673" s="4">
        <f t="shared" si="140"/>
        <v>246257431512.61655</v>
      </c>
      <c r="P673" s="4">
        <f t="shared" si="141"/>
        <v>-18469307363.446243</v>
      </c>
      <c r="Q673" s="4">
        <f t="shared" si="144"/>
        <v>0</v>
      </c>
      <c r="R673" s="4">
        <f t="shared" si="144"/>
        <v>0</v>
      </c>
      <c r="S673" s="4">
        <f t="shared" si="144"/>
        <v>0</v>
      </c>
      <c r="T673" s="3"/>
      <c r="U673" s="4">
        <f t="shared" si="142"/>
        <v>54000000</v>
      </c>
      <c r="V673">
        <f t="shared" si="143"/>
        <v>596589010693.60425</v>
      </c>
    </row>
    <row r="674" spans="1:22" x14ac:dyDescent="0.5">
      <c r="A674" s="3">
        <v>140</v>
      </c>
      <c r="B674" s="3">
        <v>1</v>
      </c>
      <c r="C674" s="3">
        <v>5</v>
      </c>
      <c r="D674" s="3">
        <v>20</v>
      </c>
      <c r="E674" s="3">
        <v>0.06</v>
      </c>
      <c r="F674" s="3">
        <f t="shared" si="136"/>
        <v>2.8409000509219249</v>
      </c>
      <c r="G674" s="5">
        <v>0.35</v>
      </c>
      <c r="H674" s="4">
        <v>20000000</v>
      </c>
      <c r="I674" s="4">
        <f t="shared" si="146"/>
        <v>20000000</v>
      </c>
      <c r="J674" s="3">
        <v>210000000000</v>
      </c>
      <c r="K674" s="4">
        <f t="shared" si="147"/>
        <v>7.8871725684275015E-2</v>
      </c>
      <c r="L674" s="6">
        <f t="shared" si="137"/>
        <v>1.5774345136855004</v>
      </c>
      <c r="M674" s="4">
        <f t="shared" si="138"/>
        <v>18469307.363446243</v>
      </c>
      <c r="N674" s="4">
        <f t="shared" si="139"/>
        <v>1846930736.344624</v>
      </c>
      <c r="O674" s="4">
        <f t="shared" si="140"/>
        <v>246257431512.61655</v>
      </c>
      <c r="P674" s="4">
        <f t="shared" si="141"/>
        <v>-18469307363.446243</v>
      </c>
      <c r="Q674" s="4">
        <f t="shared" si="144"/>
        <v>0</v>
      </c>
      <c r="R674" s="4">
        <f t="shared" si="144"/>
        <v>0</v>
      </c>
      <c r="S674" s="4">
        <f t="shared" si="144"/>
        <v>0</v>
      </c>
      <c r="T674" s="3"/>
      <c r="U674" s="4">
        <f t="shared" si="142"/>
        <v>54000000</v>
      </c>
      <c r="V674">
        <f t="shared" si="143"/>
        <v>596589010693.60425</v>
      </c>
    </row>
    <row r="675" spans="1:22" x14ac:dyDescent="0.5">
      <c r="A675" s="3">
        <v>140</v>
      </c>
      <c r="B675" s="3">
        <v>1</v>
      </c>
      <c r="C675" s="3">
        <v>5</v>
      </c>
      <c r="D675" s="3">
        <v>20</v>
      </c>
      <c r="E675" s="3">
        <v>0.06</v>
      </c>
      <c r="F675" s="3">
        <f t="shared" si="136"/>
        <v>2.8409000509219249</v>
      </c>
      <c r="G675" s="5">
        <v>0.35</v>
      </c>
      <c r="H675" s="4">
        <v>20000000</v>
      </c>
      <c r="I675" s="4">
        <f t="shared" si="146"/>
        <v>20000000</v>
      </c>
      <c r="J675" s="3">
        <v>210000000000</v>
      </c>
      <c r="K675" s="4">
        <f t="shared" si="147"/>
        <v>7.8871725684275015E-2</v>
      </c>
      <c r="L675" s="6">
        <f t="shared" si="137"/>
        <v>1.5774345136855004</v>
      </c>
      <c r="M675" s="4">
        <f t="shared" si="138"/>
        <v>18469307.363446243</v>
      </c>
      <c r="N675" s="4">
        <f t="shared" si="139"/>
        <v>1846930736.344624</v>
      </c>
      <c r="O675" s="4">
        <f t="shared" si="140"/>
        <v>246257431512.61655</v>
      </c>
      <c r="P675" s="4">
        <f t="shared" si="141"/>
        <v>-18469307363.446243</v>
      </c>
      <c r="Q675" s="4">
        <f t="shared" si="144"/>
        <v>0</v>
      </c>
      <c r="R675" s="4">
        <f t="shared" si="144"/>
        <v>0</v>
      </c>
      <c r="S675" s="4">
        <f t="shared" si="144"/>
        <v>0</v>
      </c>
      <c r="T675" s="3"/>
      <c r="U675" s="4">
        <f t="shared" si="142"/>
        <v>54000000</v>
      </c>
      <c r="V675">
        <f t="shared" si="143"/>
        <v>596589010693.60425</v>
      </c>
    </row>
    <row r="676" spans="1:22" x14ac:dyDescent="0.5">
      <c r="A676" s="3">
        <v>140</v>
      </c>
      <c r="B676" s="3">
        <v>1</v>
      </c>
      <c r="C676" s="3">
        <v>5</v>
      </c>
      <c r="D676" s="3">
        <v>20</v>
      </c>
      <c r="E676" s="3">
        <v>0.06</v>
      </c>
      <c r="F676" s="3">
        <f t="shared" si="136"/>
        <v>2.8409000509219249</v>
      </c>
      <c r="G676" s="5">
        <v>0.35</v>
      </c>
      <c r="H676" s="4">
        <v>20000000</v>
      </c>
      <c r="I676" s="4">
        <f t="shared" si="146"/>
        <v>20000000</v>
      </c>
      <c r="J676" s="3">
        <v>210000000000</v>
      </c>
      <c r="K676" s="4">
        <f t="shared" si="147"/>
        <v>7.8871725684275015E-2</v>
      </c>
      <c r="L676" s="6">
        <f t="shared" si="137"/>
        <v>1.5774345136855004</v>
      </c>
      <c r="M676" s="4">
        <f t="shared" si="138"/>
        <v>18469307.363446243</v>
      </c>
      <c r="N676" s="4">
        <f t="shared" si="139"/>
        <v>1846930736.344624</v>
      </c>
      <c r="O676" s="4">
        <f t="shared" si="140"/>
        <v>246257431512.61655</v>
      </c>
      <c r="P676" s="4">
        <f t="shared" si="141"/>
        <v>-18469307363.446243</v>
      </c>
      <c r="Q676" s="4">
        <f t="shared" si="144"/>
        <v>0</v>
      </c>
      <c r="R676" s="4">
        <f t="shared" si="144"/>
        <v>0</v>
      </c>
      <c r="S676" s="4">
        <f t="shared" si="144"/>
        <v>0</v>
      </c>
      <c r="T676" s="3"/>
      <c r="U676" s="4">
        <f t="shared" si="142"/>
        <v>54000000</v>
      </c>
      <c r="V676">
        <f t="shared" si="143"/>
        <v>596589010693.60425</v>
      </c>
    </row>
    <row r="677" spans="1:22" x14ac:dyDescent="0.5">
      <c r="A677" s="3">
        <v>140</v>
      </c>
      <c r="B677" s="3">
        <v>1</v>
      </c>
      <c r="C677" s="3">
        <v>5</v>
      </c>
      <c r="D677" s="3">
        <v>20</v>
      </c>
      <c r="E677" s="3">
        <v>0.06</v>
      </c>
      <c r="F677" s="3">
        <f t="shared" si="136"/>
        <v>2.8409000509219249</v>
      </c>
      <c r="G677" s="5">
        <v>0.35</v>
      </c>
      <c r="H677" s="4">
        <v>20000000</v>
      </c>
      <c r="I677" s="4">
        <f t="shared" si="146"/>
        <v>20000000</v>
      </c>
      <c r="J677" s="3">
        <v>210000000000</v>
      </c>
      <c r="K677" s="4">
        <f t="shared" si="147"/>
        <v>7.8871725684275015E-2</v>
      </c>
      <c r="L677" s="6">
        <f t="shared" si="137"/>
        <v>1.5774345136855004</v>
      </c>
      <c r="M677" s="4">
        <f t="shared" si="138"/>
        <v>18469307.363446243</v>
      </c>
      <c r="N677" s="4">
        <f t="shared" si="139"/>
        <v>1846930736.344624</v>
      </c>
      <c r="O677" s="4">
        <f t="shared" si="140"/>
        <v>246257431512.61655</v>
      </c>
      <c r="P677" s="4">
        <f t="shared" si="141"/>
        <v>-18469307363.446243</v>
      </c>
      <c r="Q677" s="4">
        <f t="shared" si="144"/>
        <v>0</v>
      </c>
      <c r="R677" s="4">
        <f t="shared" si="144"/>
        <v>0</v>
      </c>
      <c r="S677" s="4">
        <f t="shared" si="144"/>
        <v>0</v>
      </c>
      <c r="T677" s="3"/>
      <c r="U677" s="4">
        <f t="shared" si="142"/>
        <v>54000000</v>
      </c>
      <c r="V677">
        <f t="shared" si="143"/>
        <v>596589010693.60425</v>
      </c>
    </row>
    <row r="678" spans="1:22" x14ac:dyDescent="0.5">
      <c r="A678" s="3">
        <v>140</v>
      </c>
      <c r="B678" s="3">
        <v>1</v>
      </c>
      <c r="C678" s="3">
        <v>5</v>
      </c>
      <c r="D678" s="3">
        <v>20</v>
      </c>
      <c r="E678" s="3">
        <v>0.06</v>
      </c>
      <c r="F678" s="3">
        <f t="shared" si="136"/>
        <v>2.8409000509219249</v>
      </c>
      <c r="G678" s="5">
        <v>0.35</v>
      </c>
      <c r="H678" s="4">
        <v>20000000</v>
      </c>
      <c r="I678" s="4">
        <f t="shared" si="146"/>
        <v>20000000</v>
      </c>
      <c r="J678" s="3">
        <v>210000000000</v>
      </c>
      <c r="K678" s="4">
        <f t="shared" si="147"/>
        <v>7.8871725684275015E-2</v>
      </c>
      <c r="L678" s="6">
        <f t="shared" si="137"/>
        <v>1.5774345136855004</v>
      </c>
      <c r="M678" s="4">
        <f t="shared" si="138"/>
        <v>18469307.363446243</v>
      </c>
      <c r="N678" s="4">
        <f t="shared" si="139"/>
        <v>1846930736.344624</v>
      </c>
      <c r="O678" s="4">
        <f t="shared" si="140"/>
        <v>246257431512.61655</v>
      </c>
      <c r="P678" s="4">
        <f t="shared" si="141"/>
        <v>-18469307363.446243</v>
      </c>
      <c r="Q678" s="4">
        <f t="shared" si="144"/>
        <v>0</v>
      </c>
      <c r="R678" s="4">
        <f t="shared" si="144"/>
        <v>0</v>
      </c>
      <c r="S678" s="4">
        <f t="shared" si="144"/>
        <v>0</v>
      </c>
      <c r="T678" s="3"/>
      <c r="U678" s="4">
        <f t="shared" si="142"/>
        <v>54000000</v>
      </c>
      <c r="V678">
        <f t="shared" si="143"/>
        <v>596589010693.60425</v>
      </c>
    </row>
    <row r="679" spans="1:22" x14ac:dyDescent="0.5">
      <c r="A679" s="3">
        <v>140</v>
      </c>
      <c r="B679" s="3">
        <v>1</v>
      </c>
      <c r="C679" s="3">
        <v>5</v>
      </c>
      <c r="D679" s="3">
        <v>20</v>
      </c>
      <c r="E679" s="3">
        <v>0.06</v>
      </c>
      <c r="F679" s="3">
        <f t="shared" si="136"/>
        <v>2.8409000509219249</v>
      </c>
      <c r="G679" s="5">
        <v>0.35</v>
      </c>
      <c r="H679" s="4">
        <v>20000000</v>
      </c>
      <c r="I679" s="4">
        <f t="shared" si="146"/>
        <v>20000000</v>
      </c>
      <c r="J679" s="3">
        <v>210000000000</v>
      </c>
      <c r="K679" s="4">
        <f t="shared" si="147"/>
        <v>7.8871725684275015E-2</v>
      </c>
      <c r="L679" s="6">
        <f t="shared" si="137"/>
        <v>1.5774345136855004</v>
      </c>
      <c r="M679" s="4">
        <f t="shared" si="138"/>
        <v>18469307.363446243</v>
      </c>
      <c r="N679" s="4">
        <f t="shared" si="139"/>
        <v>1846930736.344624</v>
      </c>
      <c r="O679" s="4">
        <f t="shared" si="140"/>
        <v>246257431512.61655</v>
      </c>
      <c r="P679" s="4">
        <f t="shared" si="141"/>
        <v>-18469307363.446243</v>
      </c>
      <c r="Q679" s="4">
        <f t="shared" si="144"/>
        <v>0</v>
      </c>
      <c r="R679" s="4">
        <f t="shared" si="144"/>
        <v>0</v>
      </c>
      <c r="S679" s="4">
        <f t="shared" si="144"/>
        <v>0</v>
      </c>
      <c r="T679" s="3"/>
      <c r="U679" s="4">
        <f t="shared" si="142"/>
        <v>54000000</v>
      </c>
      <c r="V679">
        <f t="shared" si="143"/>
        <v>596589010693.60425</v>
      </c>
    </row>
    <row r="680" spans="1:22" x14ac:dyDescent="0.5">
      <c r="A680" s="3">
        <v>140</v>
      </c>
      <c r="B680" s="3">
        <v>1</v>
      </c>
      <c r="C680" s="3">
        <v>5</v>
      </c>
      <c r="D680" s="3">
        <v>20</v>
      </c>
      <c r="E680" s="3">
        <v>0.06</v>
      </c>
      <c r="F680" s="3">
        <f t="shared" si="136"/>
        <v>2.8409000509219249</v>
      </c>
      <c r="G680" s="5">
        <v>0.35</v>
      </c>
      <c r="H680" s="4">
        <v>20000000</v>
      </c>
      <c r="I680" s="4">
        <f t="shared" si="146"/>
        <v>20000000</v>
      </c>
      <c r="J680" s="3">
        <v>210000000000</v>
      </c>
      <c r="K680" s="4">
        <f t="shared" si="147"/>
        <v>7.8871725684275015E-2</v>
      </c>
      <c r="L680" s="6">
        <f t="shared" si="137"/>
        <v>1.5774345136855004</v>
      </c>
      <c r="M680" s="4">
        <f t="shared" si="138"/>
        <v>18469307.363446243</v>
      </c>
      <c r="N680" s="4">
        <f t="shared" si="139"/>
        <v>1846930736.344624</v>
      </c>
      <c r="O680" s="4">
        <f t="shared" si="140"/>
        <v>246257431512.61655</v>
      </c>
      <c r="P680" s="4">
        <f t="shared" si="141"/>
        <v>-18469307363.446243</v>
      </c>
      <c r="Q680" s="4">
        <f t="shared" si="144"/>
        <v>0</v>
      </c>
      <c r="R680" s="4">
        <f t="shared" si="144"/>
        <v>0</v>
      </c>
      <c r="S680" s="4">
        <f t="shared" si="144"/>
        <v>0</v>
      </c>
      <c r="T680" s="3"/>
      <c r="U680" s="4">
        <f t="shared" si="142"/>
        <v>54000000</v>
      </c>
      <c r="V680">
        <f t="shared" si="143"/>
        <v>596589010693.60425</v>
      </c>
    </row>
    <row r="681" spans="1:22" x14ac:dyDescent="0.5">
      <c r="A681" s="3">
        <v>140</v>
      </c>
      <c r="B681" s="3">
        <v>0.99615877060000002</v>
      </c>
      <c r="C681" s="3">
        <v>5</v>
      </c>
      <c r="D681" s="3">
        <v>20</v>
      </c>
      <c r="E681" s="3">
        <v>0.06</v>
      </c>
      <c r="F681" s="3">
        <f t="shared" si="136"/>
        <v>2.8409000509219249</v>
      </c>
      <c r="G681" s="5">
        <v>0.35</v>
      </c>
      <c r="H681" s="4">
        <v>20000000</v>
      </c>
      <c r="I681" s="4">
        <f t="shared" si="146"/>
        <v>19923175.412</v>
      </c>
      <c r="J681" s="3">
        <v>210000000000</v>
      </c>
      <c r="K681" s="4">
        <f t="shared" si="147"/>
        <v>7.8871725684275015E-2</v>
      </c>
      <c r="L681" s="6">
        <f t="shared" si="137"/>
        <v>1.5774345136855004</v>
      </c>
      <c r="M681" s="4">
        <f t="shared" si="138"/>
        <v>18392462.76197549</v>
      </c>
      <c r="N681" s="4">
        <f t="shared" si="139"/>
        <v>1839246276.1975491</v>
      </c>
      <c r="O681" s="4">
        <f t="shared" si="140"/>
        <v>245232836826.33987</v>
      </c>
      <c r="P681" s="4">
        <f t="shared" si="141"/>
        <v>-18392462761.975491</v>
      </c>
      <c r="Q681" s="4">
        <f t="shared" si="144"/>
        <v>7684460.1470749378</v>
      </c>
      <c r="R681" s="4">
        <f t="shared" si="144"/>
        <v>1024594686.2766724</v>
      </c>
      <c r="S681" s="4">
        <f t="shared" si="144"/>
        <v>-76844601.470752716</v>
      </c>
      <c r="T681" s="3"/>
      <c r="U681" s="4">
        <f t="shared" si="142"/>
        <v>53792573.612400003</v>
      </c>
      <c r="V681">
        <f t="shared" si="143"/>
        <v>596589010693.60425</v>
      </c>
    </row>
    <row r="682" spans="1:22" x14ac:dyDescent="0.5">
      <c r="A682" s="3">
        <v>140</v>
      </c>
      <c r="B682" s="3">
        <v>0.99116517280000005</v>
      </c>
      <c r="C682" s="3">
        <v>5</v>
      </c>
      <c r="D682" s="3">
        <v>20</v>
      </c>
      <c r="E682" s="3">
        <v>0.06</v>
      </c>
      <c r="F682" s="3">
        <f t="shared" si="136"/>
        <v>2.8409000509219249</v>
      </c>
      <c r="G682" s="5">
        <v>0.35</v>
      </c>
      <c r="H682" s="4">
        <v>20000000</v>
      </c>
      <c r="I682" s="4">
        <f t="shared" si="146"/>
        <v>19823303.456</v>
      </c>
      <c r="J682" s="3">
        <v>210000000000</v>
      </c>
      <c r="K682" s="4">
        <f t="shared" si="147"/>
        <v>7.8871725684275015E-2</v>
      </c>
      <c r="L682" s="6">
        <f t="shared" si="137"/>
        <v>1.5774345136855004</v>
      </c>
      <c r="M682" s="4">
        <f t="shared" si="138"/>
        <v>18292601.711726002</v>
      </c>
      <c r="N682" s="4">
        <f t="shared" si="139"/>
        <v>1829260171.1726003</v>
      </c>
      <c r="O682" s="4">
        <f t="shared" si="140"/>
        <v>243901356156.34671</v>
      </c>
      <c r="P682" s="4">
        <f t="shared" si="141"/>
        <v>-18292601711.726006</v>
      </c>
      <c r="Q682" s="4">
        <f t="shared" si="144"/>
        <v>9986105.0249488354</v>
      </c>
      <c r="R682" s="4">
        <f t="shared" si="144"/>
        <v>1331480669.9931641</v>
      </c>
      <c r="S682" s="4">
        <f t="shared" si="144"/>
        <v>-99861050.249485016</v>
      </c>
      <c r="T682" s="3"/>
      <c r="U682" s="4">
        <f t="shared" si="142"/>
        <v>53522919.331200004</v>
      </c>
      <c r="V682">
        <f t="shared" si="143"/>
        <v>596589010693.60425</v>
      </c>
    </row>
    <row r="683" spans="1:22" x14ac:dyDescent="0.5">
      <c r="A683" s="3">
        <v>140</v>
      </c>
      <c r="B683" s="3">
        <v>0.98540332940000008</v>
      </c>
      <c r="C683" s="3">
        <v>5</v>
      </c>
      <c r="D683" s="3">
        <v>20</v>
      </c>
      <c r="E683" s="3">
        <v>0.06</v>
      </c>
      <c r="F683" s="3">
        <f t="shared" si="136"/>
        <v>2.8409000509219249</v>
      </c>
      <c r="G683" s="5">
        <v>0.35</v>
      </c>
      <c r="H683" s="4">
        <v>20000000</v>
      </c>
      <c r="I683" s="4">
        <f t="shared" si="146"/>
        <v>19708066.588000003</v>
      </c>
      <c r="J683" s="3">
        <v>210000000000</v>
      </c>
      <c r="K683" s="4">
        <f t="shared" si="147"/>
        <v>7.8871725684275015E-2</v>
      </c>
      <c r="L683" s="6">
        <f t="shared" si="137"/>
        <v>1.5774345136855004</v>
      </c>
      <c r="M683" s="4">
        <f t="shared" si="138"/>
        <v>18177429.526201598</v>
      </c>
      <c r="N683" s="4">
        <f t="shared" si="139"/>
        <v>1817742952.6201601</v>
      </c>
      <c r="O683" s="4">
        <f t="shared" si="140"/>
        <v>242365727016.02133</v>
      </c>
      <c r="P683" s="4">
        <f t="shared" si="141"/>
        <v>-18177429526.201599</v>
      </c>
      <c r="Q683" s="4">
        <f t="shared" si="144"/>
        <v>11517218.552440166</v>
      </c>
      <c r="R683" s="4">
        <f t="shared" si="144"/>
        <v>1535629140.3253784</v>
      </c>
      <c r="S683" s="4">
        <f t="shared" si="144"/>
        <v>-115172185.52440643</v>
      </c>
      <c r="T683" s="3"/>
      <c r="U683" s="4">
        <f t="shared" si="142"/>
        <v>53211779.787600011</v>
      </c>
      <c r="V683">
        <f t="shared" si="143"/>
        <v>596589010693.60425</v>
      </c>
    </row>
    <row r="684" spans="1:22" x14ac:dyDescent="0.5">
      <c r="A684" s="3">
        <v>140</v>
      </c>
      <c r="B684" s="3">
        <v>0.97810499399999995</v>
      </c>
      <c r="C684" s="3">
        <v>5</v>
      </c>
      <c r="D684" s="3">
        <v>20</v>
      </c>
      <c r="E684" s="3">
        <v>0.06</v>
      </c>
      <c r="F684" s="3">
        <f t="shared" si="136"/>
        <v>2.8409000509219249</v>
      </c>
      <c r="G684" s="5">
        <v>0.35</v>
      </c>
      <c r="H684" s="4">
        <v>20000000</v>
      </c>
      <c r="I684" s="4">
        <f t="shared" si="146"/>
        <v>19562099.879999999</v>
      </c>
      <c r="J684" s="3">
        <v>210000000000</v>
      </c>
      <c r="K684" s="4">
        <f t="shared" si="147"/>
        <v>7.8871725684275015E-2</v>
      </c>
      <c r="L684" s="6">
        <f t="shared" si="137"/>
        <v>1.5774345136855004</v>
      </c>
      <c r="M684" s="4">
        <f t="shared" si="138"/>
        <v>18031625.33133455</v>
      </c>
      <c r="N684" s="4">
        <f t="shared" si="139"/>
        <v>1803162533.1334548</v>
      </c>
      <c r="O684" s="4">
        <f t="shared" si="140"/>
        <v>240421671084.46066</v>
      </c>
      <c r="P684" s="4">
        <f t="shared" si="141"/>
        <v>-18031625331.334549</v>
      </c>
      <c r="Q684" s="4">
        <f t="shared" si="144"/>
        <v>14580419.486705303</v>
      </c>
      <c r="R684" s="4">
        <f t="shared" si="144"/>
        <v>1944055931.5606689</v>
      </c>
      <c r="S684" s="4">
        <f t="shared" si="144"/>
        <v>-145804194.86705017</v>
      </c>
      <c r="T684" s="3"/>
      <c r="U684" s="4">
        <f t="shared" si="142"/>
        <v>52817669.675999999</v>
      </c>
      <c r="V684">
        <f t="shared" si="143"/>
        <v>596589010693.60425</v>
      </c>
    </row>
    <row r="685" spans="1:22" x14ac:dyDescent="0.5">
      <c r="A685" s="3">
        <v>140</v>
      </c>
      <c r="B685" s="3">
        <v>0.96991037160000004</v>
      </c>
      <c r="C685" s="3">
        <v>5</v>
      </c>
      <c r="D685" s="3">
        <v>20</v>
      </c>
      <c r="E685" s="3">
        <v>0.06</v>
      </c>
      <c r="F685" s="3">
        <f t="shared" si="136"/>
        <v>2.8409000509219249</v>
      </c>
      <c r="G685" s="5">
        <v>0.35</v>
      </c>
      <c r="H685" s="4">
        <v>20000000</v>
      </c>
      <c r="I685" s="4">
        <f t="shared" si="146"/>
        <v>19398207.432</v>
      </c>
      <c r="J685" s="3">
        <v>210000000000</v>
      </c>
      <c r="K685" s="4">
        <f t="shared" si="147"/>
        <v>7.8871725684275015E-2</v>
      </c>
      <c r="L685" s="6">
        <f t="shared" si="137"/>
        <v>1.5774345136855004</v>
      </c>
      <c r="M685" s="4">
        <f t="shared" si="138"/>
        <v>17868023.398979429</v>
      </c>
      <c r="N685" s="4">
        <f t="shared" si="139"/>
        <v>1786802339.8979428</v>
      </c>
      <c r="O685" s="4">
        <f t="shared" si="140"/>
        <v>238240311986.39236</v>
      </c>
      <c r="P685" s="4">
        <f t="shared" si="141"/>
        <v>-17868023398.979427</v>
      </c>
      <c r="Q685" s="4">
        <f t="shared" si="144"/>
        <v>16360193.235512018</v>
      </c>
      <c r="R685" s="4">
        <f t="shared" si="144"/>
        <v>2181359098.0682983</v>
      </c>
      <c r="S685" s="4">
        <f t="shared" si="144"/>
        <v>-163601932.35512161</v>
      </c>
      <c r="T685" s="3"/>
      <c r="U685" s="4">
        <f t="shared" si="142"/>
        <v>52375160.066400006</v>
      </c>
      <c r="V685">
        <f t="shared" si="143"/>
        <v>596589010693.60425</v>
      </c>
    </row>
    <row r="686" spans="1:22" x14ac:dyDescent="0.5">
      <c r="A686" s="3">
        <v>140</v>
      </c>
      <c r="B686" s="3">
        <v>0.9600512162</v>
      </c>
      <c r="C686" s="3">
        <v>5</v>
      </c>
      <c r="D686" s="3">
        <v>20</v>
      </c>
      <c r="E686" s="3">
        <v>0.06</v>
      </c>
      <c r="F686" s="3">
        <f t="shared" si="136"/>
        <v>2.8409000509219249</v>
      </c>
      <c r="G686" s="5">
        <v>0.35</v>
      </c>
      <c r="H686" s="4">
        <v>20000000</v>
      </c>
      <c r="I686" s="4">
        <f t="shared" si="146"/>
        <v>19201024.324000001</v>
      </c>
      <c r="J686" s="3">
        <v>210000000000</v>
      </c>
      <c r="K686" s="4">
        <f t="shared" si="147"/>
        <v>7.8871725684275015E-2</v>
      </c>
      <c r="L686" s="6">
        <f t="shared" si="137"/>
        <v>1.5774345136855004</v>
      </c>
      <c r="M686" s="4">
        <f t="shared" si="138"/>
        <v>17671342.505768061</v>
      </c>
      <c r="N686" s="4">
        <f t="shared" si="139"/>
        <v>1767134250.5768061</v>
      </c>
      <c r="O686" s="4">
        <f t="shared" si="140"/>
        <v>235617900076.90747</v>
      </c>
      <c r="P686" s="4">
        <f t="shared" si="141"/>
        <v>-17671342505.768059</v>
      </c>
      <c r="Q686" s="4">
        <f t="shared" si="144"/>
        <v>19668089.321136713</v>
      </c>
      <c r="R686" s="4">
        <f t="shared" si="144"/>
        <v>2622411909.4848938</v>
      </c>
      <c r="S686" s="4">
        <f t="shared" si="144"/>
        <v>-196680893.21136856</v>
      </c>
      <c r="T686" s="3"/>
      <c r="U686" s="4">
        <f t="shared" si="142"/>
        <v>51842765.674800009</v>
      </c>
      <c r="V686">
        <f t="shared" si="143"/>
        <v>596589010693.60425</v>
      </c>
    </row>
    <row r="687" spans="1:22" x14ac:dyDescent="0.5">
      <c r="A687" s="3">
        <v>140</v>
      </c>
      <c r="B687" s="3">
        <v>0.94852752880000002</v>
      </c>
      <c r="C687" s="3">
        <v>5</v>
      </c>
      <c r="D687" s="3">
        <v>20</v>
      </c>
      <c r="E687" s="3">
        <v>0.06</v>
      </c>
      <c r="F687" s="3">
        <f t="shared" si="136"/>
        <v>2.8409000509219249</v>
      </c>
      <c r="G687" s="5">
        <v>0.35</v>
      </c>
      <c r="H687" s="4">
        <v>20000000</v>
      </c>
      <c r="I687" s="4">
        <f t="shared" si="146"/>
        <v>18970550.576000001</v>
      </c>
      <c r="J687" s="3">
        <v>210000000000</v>
      </c>
      <c r="K687" s="4">
        <f t="shared" si="147"/>
        <v>7.8871725684275015E-2</v>
      </c>
      <c r="L687" s="6">
        <f t="shared" si="137"/>
        <v>1.5774345136855004</v>
      </c>
      <c r="M687" s="4">
        <f t="shared" si="138"/>
        <v>17441669.128696442</v>
      </c>
      <c r="N687" s="4">
        <f t="shared" si="139"/>
        <v>1744166912.8696442</v>
      </c>
      <c r="O687" s="4">
        <f t="shared" si="140"/>
        <v>232555588382.61923</v>
      </c>
      <c r="P687" s="4">
        <f t="shared" si="141"/>
        <v>-17441669128.696442</v>
      </c>
      <c r="Q687" s="4">
        <f t="shared" si="144"/>
        <v>22967337.707161903</v>
      </c>
      <c r="R687" s="4">
        <f t="shared" si="144"/>
        <v>3062311694.2882385</v>
      </c>
      <c r="S687" s="4">
        <f t="shared" si="144"/>
        <v>-229673377.07161713</v>
      </c>
      <c r="T687" s="3"/>
      <c r="U687" s="4">
        <f t="shared" si="142"/>
        <v>51220486.555200011</v>
      </c>
      <c r="V687">
        <f t="shared" si="143"/>
        <v>596589010693.60425</v>
      </c>
    </row>
    <row r="688" spans="1:22" x14ac:dyDescent="0.5">
      <c r="A688" s="3">
        <v>140</v>
      </c>
      <c r="B688" s="3">
        <v>0.93405889900000005</v>
      </c>
      <c r="C688" s="3">
        <v>5</v>
      </c>
      <c r="D688" s="3">
        <v>20</v>
      </c>
      <c r="E688" s="3">
        <v>0.06</v>
      </c>
      <c r="F688" s="3">
        <f t="shared" si="136"/>
        <v>2.8409000509219249</v>
      </c>
      <c r="G688" s="5">
        <v>0.35</v>
      </c>
      <c r="H688" s="4">
        <v>20000000</v>
      </c>
      <c r="I688" s="4">
        <f t="shared" si="146"/>
        <v>18681177.98</v>
      </c>
      <c r="J688" s="3">
        <v>210000000000</v>
      </c>
      <c r="K688" s="4">
        <f t="shared" si="147"/>
        <v>7.8871725684275015E-2</v>
      </c>
      <c r="L688" s="6">
        <f t="shared" si="137"/>
        <v>1.5774345136855004</v>
      </c>
      <c r="M688" s="4">
        <f t="shared" si="138"/>
        <v>17153630.852025084</v>
      </c>
      <c r="N688" s="4">
        <f t="shared" si="139"/>
        <v>1715363085.2025084</v>
      </c>
      <c r="O688" s="4">
        <f t="shared" si="140"/>
        <v>228715078027.00113</v>
      </c>
      <c r="P688" s="4">
        <f t="shared" si="141"/>
        <v>-17153630852.025085</v>
      </c>
      <c r="Q688" s="4">
        <f t="shared" si="144"/>
        <v>28803827.667135715</v>
      </c>
      <c r="R688" s="4">
        <f t="shared" si="144"/>
        <v>3840510355.618103</v>
      </c>
      <c r="S688" s="4">
        <f t="shared" si="144"/>
        <v>-288038276.6713562</v>
      </c>
      <c r="T688" s="3"/>
      <c r="U688" s="4">
        <f t="shared" si="142"/>
        <v>50439180.546000004</v>
      </c>
      <c r="V688">
        <f t="shared" si="143"/>
        <v>596589010693.60425</v>
      </c>
    </row>
    <row r="689" spans="1:22" x14ac:dyDescent="0.5">
      <c r="A689" s="3">
        <v>140</v>
      </c>
      <c r="B689" s="3">
        <v>0.91856594120000001</v>
      </c>
      <c r="C689" s="3">
        <v>5</v>
      </c>
      <c r="D689" s="3">
        <v>20</v>
      </c>
      <c r="E689" s="3">
        <v>0.06</v>
      </c>
      <c r="F689" s="3">
        <f t="shared" si="136"/>
        <v>2.8409000509219249</v>
      </c>
      <c r="G689" s="5">
        <v>0.35</v>
      </c>
      <c r="H689" s="4">
        <v>20000000</v>
      </c>
      <c r="I689" s="4">
        <f t="shared" si="146"/>
        <v>18371318.824000001</v>
      </c>
      <c r="J689" s="3">
        <v>210000000000</v>
      </c>
      <c r="K689" s="4">
        <f t="shared" si="147"/>
        <v>7.8871725684275015E-2</v>
      </c>
      <c r="L689" s="6">
        <f t="shared" si="137"/>
        <v>1.5774345136855004</v>
      </c>
      <c r="M689" s="4">
        <f t="shared" si="138"/>
        <v>16845612.596474037</v>
      </c>
      <c r="N689" s="4">
        <f t="shared" si="139"/>
        <v>1684561259.6474037</v>
      </c>
      <c r="O689" s="4">
        <f t="shared" si="140"/>
        <v>224608167952.98715</v>
      </c>
      <c r="P689" s="4">
        <f t="shared" si="141"/>
        <v>-16845612596.474037</v>
      </c>
      <c r="Q689" s="4">
        <f t="shared" si="144"/>
        <v>30801825.555104733</v>
      </c>
      <c r="R689" s="4">
        <f t="shared" si="144"/>
        <v>4106910074.0139771</v>
      </c>
      <c r="S689" s="4">
        <f t="shared" si="144"/>
        <v>-308018255.55104828</v>
      </c>
      <c r="T689" s="3"/>
      <c r="U689" s="4">
        <f t="shared" si="142"/>
        <v>49602560.824800007</v>
      </c>
      <c r="V689">
        <f t="shared" si="143"/>
        <v>596589010693.60425</v>
      </c>
    </row>
    <row r="690" spans="1:22" x14ac:dyDescent="0.5">
      <c r="A690" s="3">
        <v>140</v>
      </c>
      <c r="B690" s="3">
        <v>0.90025608179999994</v>
      </c>
      <c r="C690" s="3">
        <v>5</v>
      </c>
      <c r="D690" s="3">
        <v>20</v>
      </c>
      <c r="E690" s="3">
        <v>0.06</v>
      </c>
      <c r="F690" s="3">
        <f t="shared" si="136"/>
        <v>2.8409000509219249</v>
      </c>
      <c r="G690" s="5">
        <v>0.35</v>
      </c>
      <c r="H690" s="4">
        <v>20000000</v>
      </c>
      <c r="I690" s="4">
        <f t="shared" si="146"/>
        <v>18005121.636</v>
      </c>
      <c r="J690" s="3">
        <v>210000000000</v>
      </c>
      <c r="K690" s="4">
        <f t="shared" si="147"/>
        <v>7.8871725684275015E-2</v>
      </c>
      <c r="L690" s="6">
        <f t="shared" si="137"/>
        <v>1.5774345136855004</v>
      </c>
      <c r="M690" s="4">
        <f t="shared" si="138"/>
        <v>16482149.3387687</v>
      </c>
      <c r="N690" s="4">
        <f t="shared" si="139"/>
        <v>1648214933.8768699</v>
      </c>
      <c r="O690" s="4">
        <f t="shared" si="140"/>
        <v>219761991183.58267</v>
      </c>
      <c r="P690" s="4">
        <f t="shared" si="141"/>
        <v>-16482149338.7687</v>
      </c>
      <c r="Q690" s="4">
        <f t="shared" si="144"/>
        <v>36346325.7705338</v>
      </c>
      <c r="R690" s="4">
        <f t="shared" si="144"/>
        <v>4846176769.40448</v>
      </c>
      <c r="S690" s="4">
        <f t="shared" si="144"/>
        <v>-363463257.70533752</v>
      </c>
      <c r="T690" s="3"/>
      <c r="U690" s="4">
        <f t="shared" si="142"/>
        <v>48613828.417200007</v>
      </c>
      <c r="V690">
        <f t="shared" si="143"/>
        <v>596589010693.60425</v>
      </c>
    </row>
    <row r="691" spans="1:22" x14ac:dyDescent="0.5">
      <c r="A691" s="3">
        <v>140</v>
      </c>
      <c r="B691" s="3">
        <v>0.8782330344</v>
      </c>
      <c r="C691" s="3">
        <v>5</v>
      </c>
      <c r="D691" s="3">
        <v>20</v>
      </c>
      <c r="E691" s="3">
        <v>0.06</v>
      </c>
      <c r="F691" s="3">
        <f t="shared" si="136"/>
        <v>2.8409000509219249</v>
      </c>
      <c r="G691" s="5">
        <v>0.35</v>
      </c>
      <c r="H691" s="4">
        <v>20000000</v>
      </c>
      <c r="I691" s="4">
        <f t="shared" si="146"/>
        <v>17564660.688000001</v>
      </c>
      <c r="J691" s="3">
        <v>210000000000</v>
      </c>
      <c r="K691" s="4">
        <f t="shared" si="147"/>
        <v>7.8871725684275015E-2</v>
      </c>
      <c r="L691" s="6">
        <f t="shared" si="137"/>
        <v>1.5774345136855004</v>
      </c>
      <c r="M691" s="4">
        <f t="shared" si="138"/>
        <v>16045793.241578218</v>
      </c>
      <c r="N691" s="4">
        <f t="shared" si="139"/>
        <v>1604579324.1578219</v>
      </c>
      <c r="O691" s="4">
        <f t="shared" si="140"/>
        <v>213943909887.70959</v>
      </c>
      <c r="P691" s="4">
        <f t="shared" si="141"/>
        <v>-16045793241.578218</v>
      </c>
      <c r="Q691" s="4">
        <f t="shared" si="144"/>
        <v>43635609.719048023</v>
      </c>
      <c r="R691" s="4">
        <f t="shared" si="144"/>
        <v>5818081295.8730774</v>
      </c>
      <c r="S691" s="4">
        <f t="shared" si="144"/>
        <v>-436356097.19048119</v>
      </c>
      <c r="T691" s="3"/>
      <c r="U691" s="4">
        <f t="shared" si="142"/>
        <v>47424583.857600003</v>
      </c>
      <c r="V691">
        <f t="shared" si="143"/>
        <v>596589010693.60425</v>
      </c>
    </row>
    <row r="692" spans="1:22" x14ac:dyDescent="0.5">
      <c r="A692" s="3">
        <v>140</v>
      </c>
      <c r="B692" s="3">
        <v>0.85326504459999997</v>
      </c>
      <c r="C692" s="3">
        <v>5</v>
      </c>
      <c r="D692" s="3">
        <v>20</v>
      </c>
      <c r="E692" s="3">
        <v>0.06</v>
      </c>
      <c r="F692" s="3">
        <f t="shared" si="136"/>
        <v>2.8409000509219249</v>
      </c>
      <c r="G692" s="5">
        <v>0.35</v>
      </c>
      <c r="H692" s="4">
        <v>20000000</v>
      </c>
      <c r="I692" s="4">
        <f t="shared" si="146"/>
        <v>17065300.892000001</v>
      </c>
      <c r="J692" s="3">
        <v>210000000000</v>
      </c>
      <c r="K692" s="4">
        <f t="shared" si="147"/>
        <v>7.8871725684275015E-2</v>
      </c>
      <c r="L692" s="6">
        <f t="shared" si="137"/>
        <v>1.5774345136855004</v>
      </c>
      <c r="M692" s="4">
        <f t="shared" si="138"/>
        <v>15552190.217513267</v>
      </c>
      <c r="N692" s="4">
        <f t="shared" si="139"/>
        <v>1555219021.7513266</v>
      </c>
      <c r="O692" s="4">
        <f t="shared" si="140"/>
        <v>207362536233.51022</v>
      </c>
      <c r="P692" s="4">
        <f t="shared" si="141"/>
        <v>-15552190217.513266</v>
      </c>
      <c r="Q692" s="4">
        <f t="shared" si="144"/>
        <v>49360302.406495333</v>
      </c>
      <c r="R692" s="4">
        <f t="shared" si="144"/>
        <v>6581373654.1993713</v>
      </c>
      <c r="S692" s="4">
        <f t="shared" si="144"/>
        <v>-493603024.06495285</v>
      </c>
      <c r="T692" s="3"/>
      <c r="U692" s="4">
        <f t="shared" si="142"/>
        <v>46076312.408400007</v>
      </c>
      <c r="V692">
        <f t="shared" si="143"/>
        <v>596589010693.60425</v>
      </c>
    </row>
    <row r="693" spans="1:22" x14ac:dyDescent="0.5">
      <c r="A693" s="3">
        <v>140</v>
      </c>
      <c r="B693" s="3">
        <v>0.82509603079999994</v>
      </c>
      <c r="C693" s="3">
        <v>5</v>
      </c>
      <c r="D693" s="3">
        <v>20</v>
      </c>
      <c r="E693" s="3">
        <v>0.06</v>
      </c>
      <c r="F693" s="3">
        <f t="shared" si="136"/>
        <v>2.8409000509219249</v>
      </c>
      <c r="G693" s="5">
        <v>0.35</v>
      </c>
      <c r="H693" s="4">
        <v>20000000</v>
      </c>
      <c r="I693" s="4">
        <f t="shared" si="146"/>
        <v>16501920.615999999</v>
      </c>
      <c r="J693" s="3">
        <v>210000000000</v>
      </c>
      <c r="K693" s="4">
        <f t="shared" si="147"/>
        <v>7.8871725684275015E-2</v>
      </c>
      <c r="L693" s="6">
        <f t="shared" si="137"/>
        <v>1.5774345136855004</v>
      </c>
      <c r="M693" s="4">
        <f t="shared" si="138"/>
        <v>14996749.879021702</v>
      </c>
      <c r="N693" s="4">
        <f t="shared" si="139"/>
        <v>1499674987.9021702</v>
      </c>
      <c r="O693" s="4">
        <f t="shared" si="140"/>
        <v>199956665053.62268</v>
      </c>
      <c r="P693" s="4">
        <f t="shared" si="141"/>
        <v>-14996749879.021702</v>
      </c>
      <c r="Q693" s="4">
        <f t="shared" si="144"/>
        <v>55544033.84915638</v>
      </c>
      <c r="R693" s="4">
        <f t="shared" si="144"/>
        <v>7405871179.8875427</v>
      </c>
      <c r="S693" s="4">
        <f t="shared" si="144"/>
        <v>-555440338.4915638</v>
      </c>
      <c r="T693" s="3"/>
      <c r="U693" s="4">
        <f t="shared" si="142"/>
        <v>44555185.663199998</v>
      </c>
      <c r="V693">
        <f t="shared" si="143"/>
        <v>596589010693.60425</v>
      </c>
    </row>
    <row r="694" spans="1:22" x14ac:dyDescent="0.5">
      <c r="A694" s="3">
        <v>140</v>
      </c>
      <c r="B694" s="3">
        <v>0.79308578760000004</v>
      </c>
      <c r="C694" s="3">
        <v>5</v>
      </c>
      <c r="D694" s="3">
        <v>20</v>
      </c>
      <c r="E694" s="3">
        <v>0.06</v>
      </c>
      <c r="F694" s="3">
        <f t="shared" si="136"/>
        <v>2.8409000509219249</v>
      </c>
      <c r="G694" s="5">
        <v>0.35</v>
      </c>
      <c r="H694" s="4">
        <v>20000000</v>
      </c>
      <c r="I694" s="4">
        <f t="shared" si="146"/>
        <v>15861715.752</v>
      </c>
      <c r="J694" s="3">
        <v>210000000000</v>
      </c>
      <c r="K694" s="4">
        <f t="shared" si="147"/>
        <v>7.8871725684275015E-2</v>
      </c>
      <c r="L694" s="6">
        <f t="shared" si="137"/>
        <v>1.5774345136855004</v>
      </c>
      <c r="M694" s="4">
        <f t="shared" si="138"/>
        <v>14367486.243497465</v>
      </c>
      <c r="N694" s="4">
        <f t="shared" si="139"/>
        <v>1436748624.3497465</v>
      </c>
      <c r="O694" s="4">
        <f t="shared" si="140"/>
        <v>191566483246.63284</v>
      </c>
      <c r="P694" s="4">
        <f t="shared" si="141"/>
        <v>-14367486243.497463</v>
      </c>
      <c r="Q694" s="4">
        <f t="shared" si="144"/>
        <v>62926363.552423716</v>
      </c>
      <c r="R694" s="4">
        <f t="shared" si="144"/>
        <v>8390181806.9898376</v>
      </c>
      <c r="S694" s="4">
        <f t="shared" si="144"/>
        <v>-629263635.52423859</v>
      </c>
      <c r="T694" s="3"/>
      <c r="U694" s="4">
        <f t="shared" si="142"/>
        <v>42826632.530400001</v>
      </c>
      <c r="V694">
        <f t="shared" si="143"/>
        <v>596589010693.60425</v>
      </c>
    </row>
    <row r="695" spans="1:22" x14ac:dyDescent="0.5">
      <c r="A695" s="3">
        <v>140</v>
      </c>
      <c r="B695" s="3">
        <v>0.75633802779999992</v>
      </c>
      <c r="C695" s="3">
        <v>5</v>
      </c>
      <c r="D695" s="3">
        <v>20</v>
      </c>
      <c r="E695" s="3">
        <v>0.06</v>
      </c>
      <c r="F695" s="3">
        <f t="shared" si="136"/>
        <v>2.8409000509219249</v>
      </c>
      <c r="G695" s="5">
        <v>0.35</v>
      </c>
      <c r="H695" s="4">
        <v>20000000</v>
      </c>
      <c r="I695" s="4">
        <f t="shared" si="146"/>
        <v>15126760.555999998</v>
      </c>
      <c r="J695" s="3">
        <v>210000000000</v>
      </c>
      <c r="K695" s="4">
        <f t="shared" si="147"/>
        <v>7.8871725684275015E-2</v>
      </c>
      <c r="L695" s="6">
        <f t="shared" si="137"/>
        <v>1.5774345136855004</v>
      </c>
      <c r="M695" s="4">
        <f t="shared" si="138"/>
        <v>13647702.291928379</v>
      </c>
      <c r="N695" s="4">
        <f t="shared" si="139"/>
        <v>1364770229.1928377</v>
      </c>
      <c r="O695" s="4">
        <f t="shared" si="140"/>
        <v>181969363892.37839</v>
      </c>
      <c r="P695" s="4">
        <f t="shared" si="141"/>
        <v>-13647702291.928377</v>
      </c>
      <c r="Q695" s="4">
        <f t="shared" si="144"/>
        <v>71978395.156908751</v>
      </c>
      <c r="R695" s="4">
        <f t="shared" si="144"/>
        <v>9597119354.2544556</v>
      </c>
      <c r="S695" s="4">
        <f t="shared" si="144"/>
        <v>-719783951.56908607</v>
      </c>
      <c r="T695" s="3"/>
      <c r="U695" s="4">
        <f t="shared" si="142"/>
        <v>40842253.501199998</v>
      </c>
      <c r="V695">
        <f t="shared" si="143"/>
        <v>596589010693.60425</v>
      </c>
    </row>
    <row r="696" spans="1:22" x14ac:dyDescent="0.5">
      <c r="A696" s="3">
        <v>140</v>
      </c>
      <c r="B696" s="3">
        <v>0.71638924500000001</v>
      </c>
      <c r="C696" s="3">
        <v>5</v>
      </c>
      <c r="D696" s="3">
        <v>20</v>
      </c>
      <c r="E696" s="3">
        <v>0.06</v>
      </c>
      <c r="F696" s="3">
        <f t="shared" si="136"/>
        <v>2.8409000509219249</v>
      </c>
      <c r="G696" s="5">
        <v>0.35</v>
      </c>
      <c r="H696" s="4">
        <v>20000000</v>
      </c>
      <c r="I696" s="4">
        <f t="shared" si="146"/>
        <v>14327784.9</v>
      </c>
      <c r="J696" s="3">
        <v>210000000000</v>
      </c>
      <c r="K696" s="4">
        <f t="shared" si="147"/>
        <v>7.8871725684275015E-2</v>
      </c>
      <c r="L696" s="6">
        <f t="shared" si="137"/>
        <v>1.5774345136855004</v>
      </c>
      <c r="M696" s="4">
        <f t="shared" si="138"/>
        <v>12868524.513526358</v>
      </c>
      <c r="N696" s="4">
        <f t="shared" si="139"/>
        <v>1286852451.3526359</v>
      </c>
      <c r="O696" s="4">
        <f t="shared" si="140"/>
        <v>171580326847.0181</v>
      </c>
      <c r="P696" s="4">
        <f t="shared" si="141"/>
        <v>-12868524513.526358</v>
      </c>
      <c r="Q696" s="4">
        <f t="shared" si="144"/>
        <v>77917777.840201855</v>
      </c>
      <c r="R696" s="4">
        <f t="shared" si="144"/>
        <v>10389037045.360291</v>
      </c>
      <c r="S696" s="4">
        <f t="shared" si="144"/>
        <v>-779177778.4020195</v>
      </c>
      <c r="T696" s="3"/>
      <c r="U696" s="4">
        <f t="shared" si="142"/>
        <v>38685019.230000004</v>
      </c>
      <c r="V696">
        <f t="shared" si="143"/>
        <v>596589010693.60425</v>
      </c>
    </row>
    <row r="697" spans="1:22" x14ac:dyDescent="0.5">
      <c r="A697" s="3">
        <v>140</v>
      </c>
      <c r="B697" s="3">
        <v>0.67387964160000002</v>
      </c>
      <c r="C697" s="3">
        <v>5</v>
      </c>
      <c r="D697" s="3">
        <v>20</v>
      </c>
      <c r="E697" s="3">
        <v>0.06</v>
      </c>
      <c r="F697" s="3">
        <f t="shared" si="136"/>
        <v>2.8409000509219249</v>
      </c>
      <c r="G697" s="5">
        <v>0.35</v>
      </c>
      <c r="H697" s="4">
        <v>20000000</v>
      </c>
      <c r="I697" s="4">
        <f t="shared" si="146"/>
        <v>13477592.832</v>
      </c>
      <c r="J697" s="3">
        <v>210000000000</v>
      </c>
      <c r="K697" s="4">
        <f t="shared" si="147"/>
        <v>7.8871725684275015E-2</v>
      </c>
      <c r="L697" s="6">
        <f t="shared" si="137"/>
        <v>1.5774345136855004</v>
      </c>
      <c r="M697" s="4">
        <f t="shared" si="138"/>
        <v>12043373.068034608</v>
      </c>
      <c r="N697" s="4">
        <f t="shared" si="139"/>
        <v>1204337306.8034606</v>
      </c>
      <c r="O697" s="4">
        <f t="shared" si="140"/>
        <v>160578307573.79477</v>
      </c>
      <c r="P697" s="4">
        <f t="shared" si="141"/>
        <v>-12043373068.034607</v>
      </c>
      <c r="Q697" s="4">
        <f t="shared" si="144"/>
        <v>82515144.549175262</v>
      </c>
      <c r="R697" s="4">
        <f t="shared" si="144"/>
        <v>11002019273.223328</v>
      </c>
      <c r="S697" s="4">
        <f t="shared" si="144"/>
        <v>-825151445.49175072</v>
      </c>
      <c r="T697" s="3"/>
      <c r="U697" s="4">
        <f t="shared" si="142"/>
        <v>36389500.646400005</v>
      </c>
      <c r="V697">
        <f t="shared" si="143"/>
        <v>596589010693.60425</v>
      </c>
    </row>
    <row r="698" spans="1:22" x14ac:dyDescent="0.5">
      <c r="A698" s="3">
        <v>140</v>
      </c>
      <c r="B698" s="3">
        <v>0.62932138299999996</v>
      </c>
      <c r="C698" s="3">
        <v>5</v>
      </c>
      <c r="D698" s="3">
        <v>20</v>
      </c>
      <c r="E698" s="3">
        <v>0.06</v>
      </c>
      <c r="F698" s="3">
        <f t="shared" si="136"/>
        <v>2.8409000509219249</v>
      </c>
      <c r="G698" s="5">
        <v>0.35</v>
      </c>
      <c r="H698" s="4">
        <v>20000000</v>
      </c>
      <c r="I698" s="4">
        <f t="shared" si="146"/>
        <v>12586427.659999998</v>
      </c>
      <c r="J698" s="3">
        <v>210000000000</v>
      </c>
      <c r="K698" s="4">
        <f t="shared" si="147"/>
        <v>7.8871725684275015E-2</v>
      </c>
      <c r="L698" s="6">
        <f t="shared" si="137"/>
        <v>1.5774345136855004</v>
      </c>
      <c r="M698" s="4">
        <f t="shared" si="138"/>
        <v>11183106.768345742</v>
      </c>
      <c r="N698" s="4">
        <f t="shared" si="139"/>
        <v>1118310676.8345742</v>
      </c>
      <c r="O698" s="4">
        <f t="shared" si="140"/>
        <v>149108090244.60989</v>
      </c>
      <c r="P698" s="4">
        <f t="shared" si="141"/>
        <v>-11183106768.345741</v>
      </c>
      <c r="Q698" s="4">
        <f t="shared" si="144"/>
        <v>86026629.968886375</v>
      </c>
      <c r="R698" s="4">
        <f t="shared" si="144"/>
        <v>11470217329.184875</v>
      </c>
      <c r="S698" s="4">
        <f t="shared" si="144"/>
        <v>-860266299.68886566</v>
      </c>
      <c r="T698" s="3"/>
      <c r="U698" s="4">
        <f t="shared" si="142"/>
        <v>33983354.681999996</v>
      </c>
      <c r="V698">
        <f t="shared" si="143"/>
        <v>596589010693.60425</v>
      </c>
    </row>
    <row r="699" spans="1:22" x14ac:dyDescent="0.5">
      <c r="A699" s="3">
        <v>140</v>
      </c>
      <c r="B699" s="3">
        <v>0.58156209960000005</v>
      </c>
      <c r="C699" s="3">
        <v>5</v>
      </c>
      <c r="D699" s="3">
        <v>20</v>
      </c>
      <c r="E699" s="3">
        <v>0.06</v>
      </c>
      <c r="F699" s="3">
        <f t="shared" si="136"/>
        <v>2.8409000509219249</v>
      </c>
      <c r="G699" s="5">
        <v>0.35</v>
      </c>
      <c r="H699" s="4">
        <v>20000000</v>
      </c>
      <c r="I699" s="4">
        <f t="shared" si="146"/>
        <v>11631241.992000001</v>
      </c>
      <c r="J699" s="3">
        <v>210000000000</v>
      </c>
      <c r="K699" s="4">
        <f t="shared" si="147"/>
        <v>7.8871725684275015E-2</v>
      </c>
      <c r="L699" s="6">
        <f t="shared" si="137"/>
        <v>1.5774345136855004</v>
      </c>
      <c r="M699" s="4">
        <f t="shared" si="138"/>
        <v>10266672.59616977</v>
      </c>
      <c r="N699" s="4">
        <f t="shared" si="139"/>
        <v>1026667259.616977</v>
      </c>
      <c r="O699" s="4">
        <f t="shared" si="140"/>
        <v>136888967948.93025</v>
      </c>
      <c r="P699" s="4">
        <f t="shared" si="141"/>
        <v>-10266672596.169769</v>
      </c>
      <c r="Q699" s="4">
        <f t="shared" si="144"/>
        <v>91643417.217597246</v>
      </c>
      <c r="R699" s="4">
        <f t="shared" si="144"/>
        <v>12219122295.679642</v>
      </c>
      <c r="S699" s="4">
        <f t="shared" si="144"/>
        <v>-916434172.17597198</v>
      </c>
      <c r="T699" s="3"/>
      <c r="U699" s="4">
        <f t="shared" si="142"/>
        <v>31404353.378400005</v>
      </c>
      <c r="V699">
        <f t="shared" si="143"/>
        <v>596589010693.60425</v>
      </c>
    </row>
    <row r="700" spans="1:22" x14ac:dyDescent="0.5">
      <c r="A700" s="3">
        <v>140</v>
      </c>
      <c r="B700" s="3">
        <v>0.52906530100000004</v>
      </c>
      <c r="C700" s="3">
        <v>5</v>
      </c>
      <c r="D700" s="3">
        <v>20</v>
      </c>
      <c r="E700" s="3">
        <v>0.06</v>
      </c>
      <c r="F700" s="3">
        <f t="shared" si="136"/>
        <v>2.8409000509219249</v>
      </c>
      <c r="G700" s="5">
        <v>0.35</v>
      </c>
      <c r="H700" s="4">
        <v>20000000</v>
      </c>
      <c r="I700" s="4">
        <f t="shared" si="146"/>
        <v>10581306.020000001</v>
      </c>
      <c r="J700" s="3">
        <v>210000000000</v>
      </c>
      <c r="K700" s="4">
        <f t="shared" si="147"/>
        <v>7.8871725684275015E-2</v>
      </c>
      <c r="L700" s="6">
        <f t="shared" si="137"/>
        <v>1.5774345136855004</v>
      </c>
      <c r="M700" s="4">
        <f t="shared" si="138"/>
        <v>9266569.6521795485</v>
      </c>
      <c r="N700" s="4">
        <f t="shared" si="139"/>
        <v>926656965.21795487</v>
      </c>
      <c r="O700" s="4">
        <f t="shared" si="140"/>
        <v>123554262029.06065</v>
      </c>
      <c r="P700" s="4">
        <f t="shared" si="141"/>
        <v>-9266569652.1795483</v>
      </c>
      <c r="Q700" s="4">
        <f t="shared" si="144"/>
        <v>100010294.3990221</v>
      </c>
      <c r="R700" s="4">
        <f t="shared" si="144"/>
        <v>13334705919.869598</v>
      </c>
      <c r="S700" s="4">
        <f t="shared" si="144"/>
        <v>-1000102943.990221</v>
      </c>
      <c r="T700" s="3"/>
      <c r="U700" s="4">
        <f t="shared" si="142"/>
        <v>28569526.254000004</v>
      </c>
      <c r="V700">
        <f t="shared" si="143"/>
        <v>596589010693.60425</v>
      </c>
    </row>
    <row r="701" spans="1:22" x14ac:dyDescent="0.5">
      <c r="A701" s="3">
        <v>140</v>
      </c>
      <c r="B701" s="3">
        <v>0.47029449419999997</v>
      </c>
      <c r="C701" s="3">
        <v>5</v>
      </c>
      <c r="D701" s="3">
        <v>20</v>
      </c>
      <c r="E701" s="3">
        <v>0.06</v>
      </c>
      <c r="F701" s="3">
        <f t="shared" si="136"/>
        <v>2.8409000509219249</v>
      </c>
      <c r="G701" s="5">
        <v>0.35</v>
      </c>
      <c r="H701" s="4">
        <v>20000000</v>
      </c>
      <c r="I701" s="4">
        <f t="shared" si="146"/>
        <v>9405889.8839999996</v>
      </c>
      <c r="J701" s="3">
        <v>210000000000</v>
      </c>
      <c r="K701" s="4">
        <f t="shared" si="147"/>
        <v>7.8871725684275015E-2</v>
      </c>
      <c r="L701" s="6">
        <f t="shared" si="137"/>
        <v>1.5774345136855004</v>
      </c>
      <c r="M701" s="4">
        <f t="shared" si="138"/>
        <v>8156765.8298468748</v>
      </c>
      <c r="N701" s="4">
        <f t="shared" si="139"/>
        <v>815676582.98468757</v>
      </c>
      <c r="O701" s="4">
        <f t="shared" si="140"/>
        <v>108756877731.29167</v>
      </c>
      <c r="P701" s="4">
        <f t="shared" si="141"/>
        <v>-8156765829.8468752</v>
      </c>
      <c r="Q701" s="4">
        <f t="shared" si="144"/>
        <v>110980382.23326731</v>
      </c>
      <c r="R701" s="4">
        <f t="shared" si="144"/>
        <v>14797384297.768982</v>
      </c>
      <c r="S701" s="4">
        <f t="shared" si="144"/>
        <v>-1109803822.3326731</v>
      </c>
      <c r="T701" s="3"/>
      <c r="U701" s="4">
        <f t="shared" si="142"/>
        <v>25395902.686799999</v>
      </c>
      <c r="V701">
        <f t="shared" si="143"/>
        <v>596589010693.60425</v>
      </c>
    </row>
    <row r="702" spans="1:22" x14ac:dyDescent="0.5">
      <c r="A702" s="3">
        <v>140</v>
      </c>
      <c r="B702" s="3">
        <v>0.41318822020000001</v>
      </c>
      <c r="C702" s="3">
        <v>5</v>
      </c>
      <c r="D702" s="3">
        <v>20</v>
      </c>
      <c r="E702" s="3">
        <v>0.06</v>
      </c>
      <c r="F702" s="3">
        <f t="shared" si="136"/>
        <v>2.8409000509219249</v>
      </c>
      <c r="G702" s="5">
        <v>0.35</v>
      </c>
      <c r="H702" s="4">
        <v>20000000</v>
      </c>
      <c r="I702" s="4">
        <f t="shared" si="146"/>
        <v>8263764.4040000001</v>
      </c>
      <c r="J702" s="3">
        <v>210000000000</v>
      </c>
      <c r="K702" s="4">
        <f t="shared" si="147"/>
        <v>7.8871725684275015E-2</v>
      </c>
      <c r="L702" s="6">
        <f t="shared" si="137"/>
        <v>1.5774345136855004</v>
      </c>
      <c r="M702" s="4">
        <f t="shared" si="138"/>
        <v>7089422.641642387</v>
      </c>
      <c r="N702" s="4">
        <f t="shared" si="139"/>
        <v>708942264.16423869</v>
      </c>
      <c r="O702" s="4">
        <f t="shared" si="140"/>
        <v>94525635221.898499</v>
      </c>
      <c r="P702" s="4">
        <f t="shared" si="141"/>
        <v>-7089422641.6423874</v>
      </c>
      <c r="Q702" s="4">
        <f t="shared" si="144"/>
        <v>106734318.82044888</v>
      </c>
      <c r="R702" s="4">
        <f t="shared" si="144"/>
        <v>14231242509.393173</v>
      </c>
      <c r="S702" s="4">
        <f t="shared" si="144"/>
        <v>-1067343188.2044878</v>
      </c>
      <c r="T702" s="3"/>
      <c r="U702" s="4">
        <f t="shared" si="142"/>
        <v>22312163.890800003</v>
      </c>
      <c r="V702">
        <f t="shared" si="143"/>
        <v>596589010693.60425</v>
      </c>
    </row>
    <row r="703" spans="1:22" x14ac:dyDescent="0.5">
      <c r="A703" s="3">
        <v>140</v>
      </c>
      <c r="B703" s="3">
        <v>0.34724711899999999</v>
      </c>
      <c r="C703" s="3">
        <v>5</v>
      </c>
      <c r="D703" s="3">
        <v>20</v>
      </c>
      <c r="E703" s="3">
        <v>0.06</v>
      </c>
      <c r="F703" s="3">
        <f t="shared" si="136"/>
        <v>2.8409000509219249</v>
      </c>
      <c r="G703" s="5">
        <v>0.35</v>
      </c>
      <c r="H703" s="4">
        <v>20000000</v>
      </c>
      <c r="I703" s="4">
        <f t="shared" si="146"/>
        <v>6944942.3799999999</v>
      </c>
      <c r="J703" s="3">
        <v>210000000000</v>
      </c>
      <c r="K703" s="4">
        <f t="shared" si="147"/>
        <v>7.8871725684275015E-2</v>
      </c>
      <c r="L703" s="6">
        <f t="shared" si="137"/>
        <v>1.5774345136855004</v>
      </c>
      <c r="M703" s="4">
        <f t="shared" si="138"/>
        <v>5872312.3482391099</v>
      </c>
      <c r="N703" s="4">
        <f t="shared" si="139"/>
        <v>587231234.82391095</v>
      </c>
      <c r="O703" s="4">
        <f t="shared" si="140"/>
        <v>78297497976.521469</v>
      </c>
      <c r="P703" s="4">
        <f t="shared" si="141"/>
        <v>-5872312348.23911</v>
      </c>
      <c r="Q703" s="4">
        <f t="shared" si="144"/>
        <v>121711029.34032774</v>
      </c>
      <c r="R703" s="4">
        <f t="shared" si="144"/>
        <v>16228137245.377029</v>
      </c>
      <c r="S703" s="4">
        <f t="shared" si="144"/>
        <v>-1217110293.4032774</v>
      </c>
      <c r="T703" s="3"/>
      <c r="U703" s="4">
        <f t="shared" si="142"/>
        <v>18751344.426000003</v>
      </c>
      <c r="V703">
        <f t="shared" si="143"/>
        <v>596589010693.60425</v>
      </c>
    </row>
    <row r="704" spans="1:22" x14ac:dyDescent="0.5">
      <c r="A704" s="3">
        <v>140</v>
      </c>
      <c r="B704" s="3">
        <v>0.2960307298</v>
      </c>
      <c r="C704" s="3">
        <v>5</v>
      </c>
      <c r="D704" s="3">
        <v>20</v>
      </c>
      <c r="E704" s="3">
        <v>0.06</v>
      </c>
      <c r="F704" s="3">
        <f t="shared" si="136"/>
        <v>2.8409000509219249</v>
      </c>
      <c r="G704" s="5">
        <v>0.35</v>
      </c>
      <c r="H704" s="4">
        <v>20000000</v>
      </c>
      <c r="I704" s="4">
        <f t="shared" si="146"/>
        <v>5920614.5959999999</v>
      </c>
      <c r="J704" s="3">
        <v>210000000000</v>
      </c>
      <c r="K704" s="4">
        <f t="shared" si="147"/>
        <v>7.8871725684275015E-2</v>
      </c>
      <c r="L704" s="6">
        <f t="shared" si="137"/>
        <v>1.5774345136855004</v>
      </c>
      <c r="M704" s="4">
        <f t="shared" si="138"/>
        <v>4940059.0206646388</v>
      </c>
      <c r="N704" s="4">
        <f t="shared" si="139"/>
        <v>494005902.06646389</v>
      </c>
      <c r="O704" s="4">
        <f t="shared" si="140"/>
        <v>65867453608.861855</v>
      </c>
      <c r="P704" s="4">
        <f t="shared" si="141"/>
        <v>-4940059020.6646395</v>
      </c>
      <c r="Q704" s="4">
        <f t="shared" si="144"/>
        <v>93225332.757447064</v>
      </c>
      <c r="R704" s="4">
        <f t="shared" si="144"/>
        <v>12430044367.659615</v>
      </c>
      <c r="S704" s="4">
        <f t="shared" si="144"/>
        <v>-932253327.57447052</v>
      </c>
      <c r="T704" s="3"/>
      <c r="U704" s="4">
        <f t="shared" si="142"/>
        <v>15985659.409200002</v>
      </c>
      <c r="V704">
        <f t="shared" si="143"/>
        <v>596589010693.60425</v>
      </c>
    </row>
    <row r="705" spans="1:22" x14ac:dyDescent="0.5">
      <c r="A705" s="3">
        <v>140</v>
      </c>
      <c r="B705" s="3">
        <v>0.24750320139999998</v>
      </c>
      <c r="C705" s="3">
        <v>5</v>
      </c>
      <c r="D705" s="3">
        <v>20</v>
      </c>
      <c r="E705" s="3">
        <v>0.06</v>
      </c>
      <c r="F705" s="3">
        <f t="shared" si="136"/>
        <v>2.8409000509219249</v>
      </c>
      <c r="G705" s="5">
        <v>0.35</v>
      </c>
      <c r="H705" s="4">
        <v>20000000</v>
      </c>
      <c r="I705" s="4">
        <f t="shared" si="146"/>
        <v>4950064.0279999999</v>
      </c>
      <c r="J705" s="3">
        <v>210000000000</v>
      </c>
      <c r="K705" s="4">
        <f t="shared" si="147"/>
        <v>7.8871725684275015E-2</v>
      </c>
      <c r="L705" s="6">
        <f t="shared" si="137"/>
        <v>1.5774345136855004</v>
      </c>
      <c r="M705" s="4">
        <f t="shared" si="138"/>
        <v>4069082.5265847053</v>
      </c>
      <c r="N705" s="4">
        <f t="shared" si="139"/>
        <v>406908252.65847057</v>
      </c>
      <c r="O705" s="4">
        <f t="shared" si="140"/>
        <v>54254433687.796074</v>
      </c>
      <c r="P705" s="4">
        <f t="shared" si="141"/>
        <v>-4069082526.5847058</v>
      </c>
      <c r="Q705" s="4">
        <f t="shared" si="144"/>
        <v>87097649.407993317</v>
      </c>
      <c r="R705" s="4">
        <f t="shared" si="144"/>
        <v>11613019921.065781</v>
      </c>
      <c r="S705" s="4">
        <f t="shared" si="144"/>
        <v>-870976494.07993364</v>
      </c>
      <c r="T705" s="3"/>
      <c r="U705" s="4">
        <f t="shared" si="142"/>
        <v>13365172.875600001</v>
      </c>
      <c r="V705">
        <f t="shared" si="143"/>
        <v>596589010693.60425</v>
      </c>
    </row>
    <row r="706" spans="1:22" x14ac:dyDescent="0.5">
      <c r="A706" s="3">
        <v>160</v>
      </c>
      <c r="B706" s="3">
        <v>1</v>
      </c>
      <c r="C706" s="3">
        <v>5</v>
      </c>
      <c r="D706" s="3">
        <v>25</v>
      </c>
      <c r="E706" s="3">
        <v>6.5000000000000002E-2</v>
      </c>
      <c r="F706" s="3">
        <f t="shared" si="136"/>
        <v>3.068385758787318</v>
      </c>
      <c r="G706" s="5">
        <v>0.4</v>
      </c>
      <c r="H706" s="4">
        <v>25000000</v>
      </c>
      <c r="I706" s="4">
        <f>B706*$H$706</f>
        <v>25000000</v>
      </c>
      <c r="J706" s="3">
        <v>210000000000</v>
      </c>
      <c r="K706" s="4">
        <f>(($M$706*C706)/(4*J706*F706))^(1/4)</f>
        <v>8.4606656612149139E-2</v>
      </c>
      <c r="L706" s="6">
        <f t="shared" si="137"/>
        <v>2.1151664153037286</v>
      </c>
      <c r="M706" s="4">
        <f t="shared" si="138"/>
        <v>26414194.650217913</v>
      </c>
      <c r="N706" s="4">
        <f t="shared" si="139"/>
        <v>3301774331.2772393</v>
      </c>
      <c r="O706" s="4">
        <f t="shared" si="140"/>
        <v>687869652349.42493</v>
      </c>
      <c r="P706" s="4">
        <f t="shared" si="141"/>
        <v>-41272179140.965492</v>
      </c>
      <c r="Q706" s="4">
        <f>N706</f>
        <v>3301774331.2772393</v>
      </c>
      <c r="R706" s="4">
        <f t="shared" ref="R706:S706" si="148">O706</f>
        <v>687869652349.42493</v>
      </c>
      <c r="S706" s="4">
        <f t="shared" si="148"/>
        <v>-41272179140.965492</v>
      </c>
      <c r="T706" s="3"/>
      <c r="U706" s="4">
        <f t="shared" si="142"/>
        <v>70000000</v>
      </c>
      <c r="V706">
        <f t="shared" si="143"/>
        <v>644361009345.33679</v>
      </c>
    </row>
    <row r="707" spans="1:22" x14ac:dyDescent="0.5">
      <c r="A707" s="3">
        <v>160</v>
      </c>
      <c r="B707" s="3">
        <v>1</v>
      </c>
      <c r="C707" s="3">
        <v>5</v>
      </c>
      <c r="D707" s="3">
        <v>25</v>
      </c>
      <c r="E707" s="3">
        <v>6.5000000000000002E-2</v>
      </c>
      <c r="F707" s="3">
        <f t="shared" ref="F707:F770" si="149">(3.141592*((C707^4)-(C707-(2*E707))^4))/64</f>
        <v>3.068385758787318</v>
      </c>
      <c r="G707" s="5">
        <v>0.4</v>
      </c>
      <c r="H707" s="4">
        <v>25000000</v>
      </c>
      <c r="I707" s="4">
        <f t="shared" ref="I707:I749" si="150">B707*$H$706</f>
        <v>25000000</v>
      </c>
      <c r="J707" s="3">
        <v>210000000000</v>
      </c>
      <c r="K707" s="4">
        <f t="shared" ref="K707:K749" si="151">(($M$706*C707)/(4*J707*F707))^(1/4)</f>
        <v>8.4606656612149139E-2</v>
      </c>
      <c r="L707" s="6">
        <f t="shared" ref="L707:L770" si="152">K707*D707</f>
        <v>2.1151664153037286</v>
      </c>
      <c r="M707" s="4">
        <f t="shared" ref="M707:M770" si="153">(0.65/C707)*(((2*U707*(1+G707)*C707^4)/(J707*F707))^(1/12))*((2*U707*(1+G707))/(1-G707^2))</f>
        <v>26414194.650217913</v>
      </c>
      <c r="N707" s="4">
        <f t="shared" ref="N707:N770" si="154">IF(L707&gt;=2.5,M707*C707/K707,M707*C707*D707)</f>
        <v>3301774331.2772393</v>
      </c>
      <c r="O707" s="4">
        <f t="shared" ref="O707:O770" si="155">IF(L707&gt;=2.5,M707*C707/(2*K707^3),M707*C707*(D707^3)/3)</f>
        <v>687869652349.42493</v>
      </c>
      <c r="P707" s="4">
        <f t="shared" ref="P707:P770" si="156">IF(L707&gt;=2.5,-(M707*C707/(2*K707^2)),-(M707*C707*(D707^2)/2))</f>
        <v>-41272179140.965492</v>
      </c>
      <c r="Q707" s="4">
        <f t="shared" si="144"/>
        <v>0</v>
      </c>
      <c r="R707" s="4">
        <f t="shared" si="144"/>
        <v>0</v>
      </c>
      <c r="S707" s="4">
        <f t="shared" si="144"/>
        <v>0</v>
      </c>
      <c r="T707" s="3"/>
      <c r="U707" s="4">
        <f t="shared" ref="U707:U770" si="157">2*I707*(G707+1)</f>
        <v>70000000</v>
      </c>
      <c r="V707">
        <f t="shared" ref="V707:V770" si="158">J707*F707</f>
        <v>644361009345.33679</v>
      </c>
    </row>
    <row r="708" spans="1:22" x14ac:dyDescent="0.5">
      <c r="A708" s="3">
        <v>160</v>
      </c>
      <c r="B708" s="3">
        <v>1</v>
      </c>
      <c r="C708" s="3">
        <v>5</v>
      </c>
      <c r="D708" s="3">
        <v>25</v>
      </c>
      <c r="E708" s="3">
        <v>6.5000000000000002E-2</v>
      </c>
      <c r="F708" s="3">
        <f t="shared" si="149"/>
        <v>3.068385758787318</v>
      </c>
      <c r="G708" s="5">
        <v>0.4</v>
      </c>
      <c r="H708" s="4">
        <v>25000000</v>
      </c>
      <c r="I708" s="4">
        <f t="shared" si="150"/>
        <v>25000000</v>
      </c>
      <c r="J708" s="3">
        <v>210000000000</v>
      </c>
      <c r="K708" s="4">
        <f t="shared" si="151"/>
        <v>8.4606656612149139E-2</v>
      </c>
      <c r="L708" s="6">
        <f t="shared" si="152"/>
        <v>2.1151664153037286</v>
      </c>
      <c r="M708" s="4">
        <f t="shared" si="153"/>
        <v>26414194.650217913</v>
      </c>
      <c r="N708" s="4">
        <f t="shared" si="154"/>
        <v>3301774331.2772393</v>
      </c>
      <c r="O708" s="4">
        <f t="shared" si="155"/>
        <v>687869652349.42493</v>
      </c>
      <c r="P708" s="4">
        <f t="shared" si="156"/>
        <v>-41272179140.965492</v>
      </c>
      <c r="Q708" s="4">
        <f t="shared" ref="Q708:S771" si="159">N707-N708</f>
        <v>0</v>
      </c>
      <c r="R708" s="4">
        <f t="shared" si="159"/>
        <v>0</v>
      </c>
      <c r="S708" s="4">
        <f t="shared" si="159"/>
        <v>0</v>
      </c>
      <c r="T708" s="3"/>
      <c r="U708" s="4">
        <f t="shared" si="157"/>
        <v>70000000</v>
      </c>
      <c r="V708">
        <f t="shared" si="158"/>
        <v>644361009345.33679</v>
      </c>
    </row>
    <row r="709" spans="1:22" x14ac:dyDescent="0.5">
      <c r="A709" s="3">
        <v>160</v>
      </c>
      <c r="B709" s="3">
        <v>1</v>
      </c>
      <c r="C709" s="3">
        <v>5</v>
      </c>
      <c r="D709" s="3">
        <v>25</v>
      </c>
      <c r="E709" s="3">
        <v>6.5000000000000002E-2</v>
      </c>
      <c r="F709" s="3">
        <f t="shared" si="149"/>
        <v>3.068385758787318</v>
      </c>
      <c r="G709" s="5">
        <v>0.4</v>
      </c>
      <c r="H709" s="4">
        <v>25000000</v>
      </c>
      <c r="I709" s="4">
        <f t="shared" si="150"/>
        <v>25000000</v>
      </c>
      <c r="J709" s="3">
        <v>210000000000</v>
      </c>
      <c r="K709" s="4">
        <f t="shared" si="151"/>
        <v>8.4606656612149139E-2</v>
      </c>
      <c r="L709" s="6">
        <f t="shared" si="152"/>
        <v>2.1151664153037286</v>
      </c>
      <c r="M709" s="4">
        <f t="shared" si="153"/>
        <v>26414194.650217913</v>
      </c>
      <c r="N709" s="4">
        <f t="shared" si="154"/>
        <v>3301774331.2772393</v>
      </c>
      <c r="O709" s="4">
        <f t="shared" si="155"/>
        <v>687869652349.42493</v>
      </c>
      <c r="P709" s="4">
        <f t="shared" si="156"/>
        <v>-41272179140.965492</v>
      </c>
      <c r="Q709" s="4">
        <f t="shared" si="159"/>
        <v>0</v>
      </c>
      <c r="R709" s="4">
        <f t="shared" si="159"/>
        <v>0</v>
      </c>
      <c r="S709" s="4">
        <f t="shared" si="159"/>
        <v>0</v>
      </c>
      <c r="T709" s="3"/>
      <c r="U709" s="4">
        <f t="shared" si="157"/>
        <v>70000000</v>
      </c>
      <c r="V709">
        <f t="shared" si="158"/>
        <v>644361009345.33679</v>
      </c>
    </row>
    <row r="710" spans="1:22" x14ac:dyDescent="0.5">
      <c r="A710" s="3">
        <v>160</v>
      </c>
      <c r="B710" s="3">
        <v>1</v>
      </c>
      <c r="C710" s="3">
        <v>5</v>
      </c>
      <c r="D710" s="3">
        <v>25</v>
      </c>
      <c r="E710" s="3">
        <v>6.5000000000000002E-2</v>
      </c>
      <c r="F710" s="3">
        <f t="shared" si="149"/>
        <v>3.068385758787318</v>
      </c>
      <c r="G710" s="5">
        <v>0.4</v>
      </c>
      <c r="H710" s="4">
        <v>25000000</v>
      </c>
      <c r="I710" s="4">
        <f t="shared" si="150"/>
        <v>25000000</v>
      </c>
      <c r="J710" s="3">
        <v>210000000000</v>
      </c>
      <c r="K710" s="4">
        <f t="shared" si="151"/>
        <v>8.4606656612149139E-2</v>
      </c>
      <c r="L710" s="6">
        <f t="shared" si="152"/>
        <v>2.1151664153037286</v>
      </c>
      <c r="M710" s="4">
        <f t="shared" si="153"/>
        <v>26414194.650217913</v>
      </c>
      <c r="N710" s="4">
        <f t="shared" si="154"/>
        <v>3301774331.2772393</v>
      </c>
      <c r="O710" s="4">
        <f t="shared" si="155"/>
        <v>687869652349.42493</v>
      </c>
      <c r="P710" s="4">
        <f t="shared" si="156"/>
        <v>-41272179140.965492</v>
      </c>
      <c r="Q710" s="4">
        <f t="shared" si="159"/>
        <v>0</v>
      </c>
      <c r="R710" s="4">
        <f t="shared" si="159"/>
        <v>0</v>
      </c>
      <c r="S710" s="4">
        <f t="shared" si="159"/>
        <v>0</v>
      </c>
      <c r="T710" s="3"/>
      <c r="U710" s="4">
        <f t="shared" si="157"/>
        <v>70000000</v>
      </c>
      <c r="V710">
        <f t="shared" si="158"/>
        <v>644361009345.33679</v>
      </c>
    </row>
    <row r="711" spans="1:22" x14ac:dyDescent="0.5">
      <c r="A711" s="3">
        <v>160</v>
      </c>
      <c r="B711" s="3">
        <v>1</v>
      </c>
      <c r="C711" s="3">
        <v>5</v>
      </c>
      <c r="D711" s="3">
        <v>25</v>
      </c>
      <c r="E711" s="3">
        <v>6.5000000000000002E-2</v>
      </c>
      <c r="F711" s="3">
        <f t="shared" si="149"/>
        <v>3.068385758787318</v>
      </c>
      <c r="G711" s="5">
        <v>0.4</v>
      </c>
      <c r="H711" s="4">
        <v>25000000</v>
      </c>
      <c r="I711" s="4">
        <f t="shared" si="150"/>
        <v>25000000</v>
      </c>
      <c r="J711" s="3">
        <v>210000000000</v>
      </c>
      <c r="K711" s="4">
        <f t="shared" si="151"/>
        <v>8.4606656612149139E-2</v>
      </c>
      <c r="L711" s="6">
        <f t="shared" si="152"/>
        <v>2.1151664153037286</v>
      </c>
      <c r="M711" s="4">
        <f t="shared" si="153"/>
        <v>26414194.650217913</v>
      </c>
      <c r="N711" s="4">
        <f t="shared" si="154"/>
        <v>3301774331.2772393</v>
      </c>
      <c r="O711" s="4">
        <f t="shared" si="155"/>
        <v>687869652349.42493</v>
      </c>
      <c r="P711" s="4">
        <f t="shared" si="156"/>
        <v>-41272179140.965492</v>
      </c>
      <c r="Q711" s="4">
        <f t="shared" si="159"/>
        <v>0</v>
      </c>
      <c r="R711" s="4">
        <f t="shared" si="159"/>
        <v>0</v>
      </c>
      <c r="S711" s="4">
        <f t="shared" si="159"/>
        <v>0</v>
      </c>
      <c r="T711" s="3"/>
      <c r="U711" s="4">
        <f t="shared" si="157"/>
        <v>70000000</v>
      </c>
      <c r="V711">
        <f t="shared" si="158"/>
        <v>644361009345.33679</v>
      </c>
    </row>
    <row r="712" spans="1:22" x14ac:dyDescent="0.5">
      <c r="A712" s="3">
        <v>160</v>
      </c>
      <c r="B712" s="3">
        <v>1</v>
      </c>
      <c r="C712" s="3">
        <v>5</v>
      </c>
      <c r="D712" s="3">
        <v>25</v>
      </c>
      <c r="E712" s="3">
        <v>6.5000000000000002E-2</v>
      </c>
      <c r="F712" s="3">
        <f t="shared" si="149"/>
        <v>3.068385758787318</v>
      </c>
      <c r="G712" s="5">
        <v>0.4</v>
      </c>
      <c r="H712" s="4">
        <v>25000000</v>
      </c>
      <c r="I712" s="4">
        <f t="shared" si="150"/>
        <v>25000000</v>
      </c>
      <c r="J712" s="3">
        <v>210000000000</v>
      </c>
      <c r="K712" s="4">
        <f t="shared" si="151"/>
        <v>8.4606656612149139E-2</v>
      </c>
      <c r="L712" s="6">
        <f t="shared" si="152"/>
        <v>2.1151664153037286</v>
      </c>
      <c r="M712" s="4">
        <f t="shared" si="153"/>
        <v>26414194.650217913</v>
      </c>
      <c r="N712" s="4">
        <f t="shared" si="154"/>
        <v>3301774331.2772393</v>
      </c>
      <c r="O712" s="4">
        <f t="shared" si="155"/>
        <v>687869652349.42493</v>
      </c>
      <c r="P712" s="4">
        <f t="shared" si="156"/>
        <v>-41272179140.965492</v>
      </c>
      <c r="Q712" s="4">
        <f t="shared" si="159"/>
        <v>0</v>
      </c>
      <c r="R712" s="4">
        <f t="shared" si="159"/>
        <v>0</v>
      </c>
      <c r="S712" s="4">
        <f t="shared" si="159"/>
        <v>0</v>
      </c>
      <c r="T712" s="3"/>
      <c r="U712" s="4">
        <f t="shared" si="157"/>
        <v>70000000</v>
      </c>
      <c r="V712">
        <f t="shared" si="158"/>
        <v>644361009345.33679</v>
      </c>
    </row>
    <row r="713" spans="1:22" x14ac:dyDescent="0.5">
      <c r="A713" s="3">
        <v>160</v>
      </c>
      <c r="B713" s="3">
        <v>1</v>
      </c>
      <c r="C713" s="3">
        <v>5</v>
      </c>
      <c r="D713" s="3">
        <v>25</v>
      </c>
      <c r="E713" s="3">
        <v>6.5000000000000002E-2</v>
      </c>
      <c r="F713" s="3">
        <f t="shared" si="149"/>
        <v>3.068385758787318</v>
      </c>
      <c r="G713" s="5">
        <v>0.4</v>
      </c>
      <c r="H713" s="4">
        <v>25000000</v>
      </c>
      <c r="I713" s="4">
        <f t="shared" si="150"/>
        <v>25000000</v>
      </c>
      <c r="J713" s="3">
        <v>210000000000</v>
      </c>
      <c r="K713" s="4">
        <f t="shared" si="151"/>
        <v>8.4606656612149139E-2</v>
      </c>
      <c r="L713" s="6">
        <f t="shared" si="152"/>
        <v>2.1151664153037286</v>
      </c>
      <c r="M713" s="4">
        <f t="shared" si="153"/>
        <v>26414194.650217913</v>
      </c>
      <c r="N713" s="4">
        <f t="shared" si="154"/>
        <v>3301774331.2772393</v>
      </c>
      <c r="O713" s="4">
        <f t="shared" si="155"/>
        <v>687869652349.42493</v>
      </c>
      <c r="P713" s="4">
        <f t="shared" si="156"/>
        <v>-41272179140.965492</v>
      </c>
      <c r="Q713" s="4">
        <f t="shared" si="159"/>
        <v>0</v>
      </c>
      <c r="R713" s="4">
        <f t="shared" si="159"/>
        <v>0</v>
      </c>
      <c r="S713" s="4">
        <f t="shared" si="159"/>
        <v>0</v>
      </c>
      <c r="T713" s="3"/>
      <c r="U713" s="4">
        <f t="shared" si="157"/>
        <v>70000000</v>
      </c>
      <c r="V713">
        <f t="shared" si="158"/>
        <v>644361009345.33679</v>
      </c>
    </row>
    <row r="714" spans="1:22" x14ac:dyDescent="0.5">
      <c r="A714" s="3">
        <v>160</v>
      </c>
      <c r="B714" s="3">
        <v>1</v>
      </c>
      <c r="C714" s="3">
        <v>5</v>
      </c>
      <c r="D714" s="3">
        <v>25</v>
      </c>
      <c r="E714" s="3">
        <v>6.5000000000000002E-2</v>
      </c>
      <c r="F714" s="3">
        <f t="shared" si="149"/>
        <v>3.068385758787318</v>
      </c>
      <c r="G714" s="5">
        <v>0.4</v>
      </c>
      <c r="H714" s="4">
        <v>25000000</v>
      </c>
      <c r="I714" s="4">
        <f t="shared" si="150"/>
        <v>25000000</v>
      </c>
      <c r="J714" s="3">
        <v>210000000000</v>
      </c>
      <c r="K714" s="4">
        <f t="shared" si="151"/>
        <v>8.4606656612149139E-2</v>
      </c>
      <c r="L714" s="6">
        <f t="shared" si="152"/>
        <v>2.1151664153037286</v>
      </c>
      <c r="M714" s="4">
        <f t="shared" si="153"/>
        <v>26414194.650217913</v>
      </c>
      <c r="N714" s="4">
        <f t="shared" si="154"/>
        <v>3301774331.2772393</v>
      </c>
      <c r="O714" s="4">
        <f t="shared" si="155"/>
        <v>687869652349.42493</v>
      </c>
      <c r="P714" s="4">
        <f t="shared" si="156"/>
        <v>-41272179140.965492</v>
      </c>
      <c r="Q714" s="4">
        <f t="shared" si="159"/>
        <v>0</v>
      </c>
      <c r="R714" s="4">
        <f t="shared" si="159"/>
        <v>0</v>
      </c>
      <c r="S714" s="4">
        <f t="shared" si="159"/>
        <v>0</v>
      </c>
      <c r="T714" s="3"/>
      <c r="U714" s="4">
        <f t="shared" si="157"/>
        <v>70000000</v>
      </c>
      <c r="V714">
        <f t="shared" si="158"/>
        <v>644361009345.33679</v>
      </c>
    </row>
    <row r="715" spans="1:22" x14ac:dyDescent="0.5">
      <c r="A715" s="3">
        <v>160</v>
      </c>
      <c r="B715" s="3">
        <v>1</v>
      </c>
      <c r="C715" s="3">
        <v>5</v>
      </c>
      <c r="D715" s="3">
        <v>25</v>
      </c>
      <c r="E715" s="3">
        <v>6.5000000000000002E-2</v>
      </c>
      <c r="F715" s="3">
        <f t="shared" si="149"/>
        <v>3.068385758787318</v>
      </c>
      <c r="G715" s="5">
        <v>0.4</v>
      </c>
      <c r="H715" s="4">
        <v>25000000</v>
      </c>
      <c r="I715" s="4">
        <f t="shared" si="150"/>
        <v>25000000</v>
      </c>
      <c r="J715" s="3">
        <v>210000000000</v>
      </c>
      <c r="K715" s="4">
        <f t="shared" si="151"/>
        <v>8.4606656612149139E-2</v>
      </c>
      <c r="L715" s="6">
        <f t="shared" si="152"/>
        <v>2.1151664153037286</v>
      </c>
      <c r="M715" s="4">
        <f t="shared" si="153"/>
        <v>26414194.650217913</v>
      </c>
      <c r="N715" s="4">
        <f t="shared" si="154"/>
        <v>3301774331.2772393</v>
      </c>
      <c r="O715" s="4">
        <f t="shared" si="155"/>
        <v>687869652349.42493</v>
      </c>
      <c r="P715" s="4">
        <f t="shared" si="156"/>
        <v>-41272179140.965492</v>
      </c>
      <c r="Q715" s="4">
        <f t="shared" si="159"/>
        <v>0</v>
      </c>
      <c r="R715" s="4">
        <f t="shared" si="159"/>
        <v>0</v>
      </c>
      <c r="S715" s="4">
        <f t="shared" si="159"/>
        <v>0</v>
      </c>
      <c r="T715" s="3"/>
      <c r="U715" s="4">
        <f t="shared" si="157"/>
        <v>70000000</v>
      </c>
      <c r="V715">
        <f t="shared" si="158"/>
        <v>644361009345.33679</v>
      </c>
    </row>
    <row r="716" spans="1:22" x14ac:dyDescent="0.5">
      <c r="A716" s="3">
        <v>160</v>
      </c>
      <c r="B716" s="3">
        <v>1</v>
      </c>
      <c r="C716" s="3">
        <v>5</v>
      </c>
      <c r="D716" s="3">
        <v>25</v>
      </c>
      <c r="E716" s="3">
        <v>6.5000000000000002E-2</v>
      </c>
      <c r="F716" s="3">
        <f t="shared" si="149"/>
        <v>3.068385758787318</v>
      </c>
      <c r="G716" s="5">
        <v>0.4</v>
      </c>
      <c r="H716" s="4">
        <v>25000000</v>
      </c>
      <c r="I716" s="4">
        <f t="shared" si="150"/>
        <v>25000000</v>
      </c>
      <c r="J716" s="3">
        <v>210000000000</v>
      </c>
      <c r="K716" s="4">
        <f t="shared" si="151"/>
        <v>8.4606656612149139E-2</v>
      </c>
      <c r="L716" s="6">
        <f t="shared" si="152"/>
        <v>2.1151664153037286</v>
      </c>
      <c r="M716" s="4">
        <f t="shared" si="153"/>
        <v>26414194.650217913</v>
      </c>
      <c r="N716" s="4">
        <f t="shared" si="154"/>
        <v>3301774331.2772393</v>
      </c>
      <c r="O716" s="4">
        <f t="shared" si="155"/>
        <v>687869652349.42493</v>
      </c>
      <c r="P716" s="4">
        <f t="shared" si="156"/>
        <v>-41272179140.965492</v>
      </c>
      <c r="Q716" s="4">
        <f t="shared" si="159"/>
        <v>0</v>
      </c>
      <c r="R716" s="4">
        <f t="shared" si="159"/>
        <v>0</v>
      </c>
      <c r="S716" s="4">
        <f t="shared" si="159"/>
        <v>0</v>
      </c>
      <c r="T716" s="3"/>
      <c r="U716" s="4">
        <f t="shared" si="157"/>
        <v>70000000</v>
      </c>
      <c r="V716">
        <f t="shared" si="158"/>
        <v>644361009345.33679</v>
      </c>
    </row>
    <row r="717" spans="1:22" x14ac:dyDescent="0.5">
      <c r="A717" s="3">
        <v>160</v>
      </c>
      <c r="B717" s="3">
        <v>1</v>
      </c>
      <c r="C717" s="3">
        <v>5</v>
      </c>
      <c r="D717" s="3">
        <v>25</v>
      </c>
      <c r="E717" s="3">
        <v>6.5000000000000002E-2</v>
      </c>
      <c r="F717" s="3">
        <f t="shared" si="149"/>
        <v>3.068385758787318</v>
      </c>
      <c r="G717" s="5">
        <v>0.4</v>
      </c>
      <c r="H717" s="4">
        <v>25000000</v>
      </c>
      <c r="I717" s="4">
        <f t="shared" si="150"/>
        <v>25000000</v>
      </c>
      <c r="J717" s="3">
        <v>210000000000</v>
      </c>
      <c r="K717" s="4">
        <f t="shared" si="151"/>
        <v>8.4606656612149139E-2</v>
      </c>
      <c r="L717" s="6">
        <f t="shared" si="152"/>
        <v>2.1151664153037286</v>
      </c>
      <c r="M717" s="4">
        <f t="shared" si="153"/>
        <v>26414194.650217913</v>
      </c>
      <c r="N717" s="4">
        <f t="shared" si="154"/>
        <v>3301774331.2772393</v>
      </c>
      <c r="O717" s="4">
        <f t="shared" si="155"/>
        <v>687869652349.42493</v>
      </c>
      <c r="P717" s="4">
        <f t="shared" si="156"/>
        <v>-41272179140.965492</v>
      </c>
      <c r="Q717" s="4">
        <f t="shared" si="159"/>
        <v>0</v>
      </c>
      <c r="R717" s="4">
        <f t="shared" si="159"/>
        <v>0</v>
      </c>
      <c r="S717" s="4">
        <f t="shared" si="159"/>
        <v>0</v>
      </c>
      <c r="T717" s="3"/>
      <c r="U717" s="4">
        <f t="shared" si="157"/>
        <v>70000000</v>
      </c>
      <c r="V717">
        <f t="shared" si="158"/>
        <v>644361009345.33679</v>
      </c>
    </row>
    <row r="718" spans="1:22" x14ac:dyDescent="0.5">
      <c r="A718" s="3">
        <v>160</v>
      </c>
      <c r="B718" s="3">
        <v>1</v>
      </c>
      <c r="C718" s="3">
        <v>5</v>
      </c>
      <c r="D718" s="3">
        <v>25</v>
      </c>
      <c r="E718" s="3">
        <v>6.5000000000000002E-2</v>
      </c>
      <c r="F718" s="3">
        <f t="shared" si="149"/>
        <v>3.068385758787318</v>
      </c>
      <c r="G718" s="5">
        <v>0.4</v>
      </c>
      <c r="H718" s="4">
        <v>25000000</v>
      </c>
      <c r="I718" s="4">
        <f t="shared" si="150"/>
        <v>25000000</v>
      </c>
      <c r="J718" s="3">
        <v>210000000000</v>
      </c>
      <c r="K718" s="4">
        <f t="shared" si="151"/>
        <v>8.4606656612149139E-2</v>
      </c>
      <c r="L718" s="6">
        <f t="shared" si="152"/>
        <v>2.1151664153037286</v>
      </c>
      <c r="M718" s="4">
        <f t="shared" si="153"/>
        <v>26414194.650217913</v>
      </c>
      <c r="N718" s="4">
        <f t="shared" si="154"/>
        <v>3301774331.2772393</v>
      </c>
      <c r="O718" s="4">
        <f t="shared" si="155"/>
        <v>687869652349.42493</v>
      </c>
      <c r="P718" s="4">
        <f t="shared" si="156"/>
        <v>-41272179140.965492</v>
      </c>
      <c r="Q718" s="4">
        <f t="shared" si="159"/>
        <v>0</v>
      </c>
      <c r="R718" s="4">
        <f t="shared" si="159"/>
        <v>0</v>
      </c>
      <c r="S718" s="4">
        <f t="shared" si="159"/>
        <v>0</v>
      </c>
      <c r="T718" s="3"/>
      <c r="U718" s="4">
        <f t="shared" si="157"/>
        <v>70000000</v>
      </c>
      <c r="V718">
        <f t="shared" si="158"/>
        <v>644361009345.33679</v>
      </c>
    </row>
    <row r="719" spans="1:22" x14ac:dyDescent="0.5">
      <c r="A719" s="3">
        <v>160</v>
      </c>
      <c r="B719" s="3">
        <v>1</v>
      </c>
      <c r="C719" s="3">
        <v>5</v>
      </c>
      <c r="D719" s="3">
        <v>25</v>
      </c>
      <c r="E719" s="3">
        <v>6.5000000000000002E-2</v>
      </c>
      <c r="F719" s="3">
        <f t="shared" si="149"/>
        <v>3.068385758787318</v>
      </c>
      <c r="G719" s="5">
        <v>0.4</v>
      </c>
      <c r="H719" s="4">
        <v>25000000</v>
      </c>
      <c r="I719" s="4">
        <f t="shared" si="150"/>
        <v>25000000</v>
      </c>
      <c r="J719" s="3">
        <v>210000000000</v>
      </c>
      <c r="K719" s="4">
        <f t="shared" si="151"/>
        <v>8.4606656612149139E-2</v>
      </c>
      <c r="L719" s="6">
        <f t="shared" si="152"/>
        <v>2.1151664153037286</v>
      </c>
      <c r="M719" s="4">
        <f t="shared" si="153"/>
        <v>26414194.650217913</v>
      </c>
      <c r="N719" s="4">
        <f t="shared" si="154"/>
        <v>3301774331.2772393</v>
      </c>
      <c r="O719" s="4">
        <f t="shared" si="155"/>
        <v>687869652349.42493</v>
      </c>
      <c r="P719" s="4">
        <f t="shared" si="156"/>
        <v>-41272179140.965492</v>
      </c>
      <c r="Q719" s="4">
        <f t="shared" si="159"/>
        <v>0</v>
      </c>
      <c r="R719" s="4">
        <f t="shared" si="159"/>
        <v>0</v>
      </c>
      <c r="S719" s="4">
        <f t="shared" si="159"/>
        <v>0</v>
      </c>
      <c r="T719" s="3"/>
      <c r="U719" s="4">
        <f t="shared" si="157"/>
        <v>70000000</v>
      </c>
      <c r="V719">
        <f t="shared" si="158"/>
        <v>644361009345.33679</v>
      </c>
    </row>
    <row r="720" spans="1:22" x14ac:dyDescent="0.5">
      <c r="A720" s="3">
        <v>160</v>
      </c>
      <c r="B720" s="3">
        <v>1</v>
      </c>
      <c r="C720" s="3">
        <v>5</v>
      </c>
      <c r="D720" s="3">
        <v>25</v>
      </c>
      <c r="E720" s="3">
        <v>6.5000000000000002E-2</v>
      </c>
      <c r="F720" s="3">
        <f t="shared" si="149"/>
        <v>3.068385758787318</v>
      </c>
      <c r="G720" s="5">
        <v>0.4</v>
      </c>
      <c r="H720" s="4">
        <v>25000000</v>
      </c>
      <c r="I720" s="4">
        <f t="shared" si="150"/>
        <v>25000000</v>
      </c>
      <c r="J720" s="3">
        <v>210000000000</v>
      </c>
      <c r="K720" s="4">
        <f t="shared" si="151"/>
        <v>8.4606656612149139E-2</v>
      </c>
      <c r="L720" s="6">
        <f t="shared" si="152"/>
        <v>2.1151664153037286</v>
      </c>
      <c r="M720" s="4">
        <f t="shared" si="153"/>
        <v>26414194.650217913</v>
      </c>
      <c r="N720" s="4">
        <f t="shared" si="154"/>
        <v>3301774331.2772393</v>
      </c>
      <c r="O720" s="4">
        <f t="shared" si="155"/>
        <v>687869652349.42493</v>
      </c>
      <c r="P720" s="4">
        <f t="shared" si="156"/>
        <v>-41272179140.965492</v>
      </c>
      <c r="Q720" s="4">
        <f t="shared" si="159"/>
        <v>0</v>
      </c>
      <c r="R720" s="4">
        <f t="shared" si="159"/>
        <v>0</v>
      </c>
      <c r="S720" s="4">
        <f t="shared" si="159"/>
        <v>0</v>
      </c>
      <c r="T720" s="3"/>
      <c r="U720" s="4">
        <f t="shared" si="157"/>
        <v>70000000</v>
      </c>
      <c r="V720">
        <f t="shared" si="158"/>
        <v>644361009345.33679</v>
      </c>
    </row>
    <row r="721" spans="1:22" x14ac:dyDescent="0.5">
      <c r="A721" s="3">
        <v>160</v>
      </c>
      <c r="B721" s="3">
        <v>1</v>
      </c>
      <c r="C721" s="3">
        <v>5</v>
      </c>
      <c r="D721" s="3">
        <v>25</v>
      </c>
      <c r="E721" s="3">
        <v>6.5000000000000002E-2</v>
      </c>
      <c r="F721" s="3">
        <f t="shared" si="149"/>
        <v>3.068385758787318</v>
      </c>
      <c r="G721" s="5">
        <v>0.4</v>
      </c>
      <c r="H721" s="4">
        <v>25000000</v>
      </c>
      <c r="I721" s="4">
        <f t="shared" si="150"/>
        <v>25000000</v>
      </c>
      <c r="J721" s="3">
        <v>210000000000</v>
      </c>
      <c r="K721" s="4">
        <f t="shared" si="151"/>
        <v>8.4606656612149139E-2</v>
      </c>
      <c r="L721" s="6">
        <f t="shared" si="152"/>
        <v>2.1151664153037286</v>
      </c>
      <c r="M721" s="4">
        <f t="shared" si="153"/>
        <v>26414194.650217913</v>
      </c>
      <c r="N721" s="4">
        <f t="shared" si="154"/>
        <v>3301774331.2772393</v>
      </c>
      <c r="O721" s="4">
        <f t="shared" si="155"/>
        <v>687869652349.42493</v>
      </c>
      <c r="P721" s="4">
        <f t="shared" si="156"/>
        <v>-41272179140.965492</v>
      </c>
      <c r="Q721" s="4">
        <f t="shared" si="159"/>
        <v>0</v>
      </c>
      <c r="R721" s="4">
        <f t="shared" si="159"/>
        <v>0</v>
      </c>
      <c r="S721" s="4">
        <f t="shared" si="159"/>
        <v>0</v>
      </c>
      <c r="T721" s="3"/>
      <c r="U721" s="4">
        <f t="shared" si="157"/>
        <v>70000000</v>
      </c>
      <c r="V721">
        <f t="shared" si="158"/>
        <v>644361009345.33679</v>
      </c>
    </row>
    <row r="722" spans="1:22" x14ac:dyDescent="0.5">
      <c r="A722" s="3">
        <v>160</v>
      </c>
      <c r="B722" s="3">
        <v>1</v>
      </c>
      <c r="C722" s="3">
        <v>5</v>
      </c>
      <c r="D722" s="3">
        <v>25</v>
      </c>
      <c r="E722" s="3">
        <v>6.5000000000000002E-2</v>
      </c>
      <c r="F722" s="3">
        <f t="shared" si="149"/>
        <v>3.068385758787318</v>
      </c>
      <c r="G722" s="5">
        <v>0.4</v>
      </c>
      <c r="H722" s="4">
        <v>25000000</v>
      </c>
      <c r="I722" s="4">
        <f t="shared" si="150"/>
        <v>25000000</v>
      </c>
      <c r="J722" s="3">
        <v>210000000000</v>
      </c>
      <c r="K722" s="4">
        <f t="shared" si="151"/>
        <v>8.4606656612149139E-2</v>
      </c>
      <c r="L722" s="6">
        <f t="shared" si="152"/>
        <v>2.1151664153037286</v>
      </c>
      <c r="M722" s="4">
        <f t="shared" si="153"/>
        <v>26414194.650217913</v>
      </c>
      <c r="N722" s="4">
        <f t="shared" si="154"/>
        <v>3301774331.2772393</v>
      </c>
      <c r="O722" s="4">
        <f t="shared" si="155"/>
        <v>687869652349.42493</v>
      </c>
      <c r="P722" s="4">
        <f t="shared" si="156"/>
        <v>-41272179140.965492</v>
      </c>
      <c r="Q722" s="4">
        <f t="shared" si="159"/>
        <v>0</v>
      </c>
      <c r="R722" s="4">
        <f t="shared" si="159"/>
        <v>0</v>
      </c>
      <c r="S722" s="4">
        <f t="shared" si="159"/>
        <v>0</v>
      </c>
      <c r="T722" s="3"/>
      <c r="U722" s="4">
        <f t="shared" si="157"/>
        <v>70000000</v>
      </c>
      <c r="V722">
        <f t="shared" si="158"/>
        <v>644361009345.33679</v>
      </c>
    </row>
    <row r="723" spans="1:22" x14ac:dyDescent="0.5">
      <c r="A723" s="3">
        <v>160</v>
      </c>
      <c r="B723" s="3">
        <v>1</v>
      </c>
      <c r="C723" s="3">
        <v>5</v>
      </c>
      <c r="D723" s="3">
        <v>25</v>
      </c>
      <c r="E723" s="3">
        <v>6.5000000000000002E-2</v>
      </c>
      <c r="F723" s="3">
        <f t="shared" si="149"/>
        <v>3.068385758787318</v>
      </c>
      <c r="G723" s="5">
        <v>0.4</v>
      </c>
      <c r="H723" s="4">
        <v>25000000</v>
      </c>
      <c r="I723" s="4">
        <f t="shared" si="150"/>
        <v>25000000</v>
      </c>
      <c r="J723" s="3">
        <v>210000000000</v>
      </c>
      <c r="K723" s="4">
        <f t="shared" si="151"/>
        <v>8.4606656612149139E-2</v>
      </c>
      <c r="L723" s="6">
        <f t="shared" si="152"/>
        <v>2.1151664153037286</v>
      </c>
      <c r="M723" s="4">
        <f t="shared" si="153"/>
        <v>26414194.650217913</v>
      </c>
      <c r="N723" s="4">
        <f t="shared" si="154"/>
        <v>3301774331.2772393</v>
      </c>
      <c r="O723" s="4">
        <f t="shared" si="155"/>
        <v>687869652349.42493</v>
      </c>
      <c r="P723" s="4">
        <f t="shared" si="156"/>
        <v>-41272179140.965492</v>
      </c>
      <c r="Q723" s="4">
        <f t="shared" si="159"/>
        <v>0</v>
      </c>
      <c r="R723" s="4">
        <f t="shared" si="159"/>
        <v>0</v>
      </c>
      <c r="S723" s="4">
        <f t="shared" si="159"/>
        <v>0</v>
      </c>
      <c r="T723" s="3"/>
      <c r="U723" s="4">
        <f t="shared" si="157"/>
        <v>70000000</v>
      </c>
      <c r="V723">
        <f t="shared" si="158"/>
        <v>644361009345.33679</v>
      </c>
    </row>
    <row r="724" spans="1:22" x14ac:dyDescent="0.5">
      <c r="A724" s="3">
        <v>160</v>
      </c>
      <c r="B724" s="3">
        <v>1</v>
      </c>
      <c r="C724" s="3">
        <v>5</v>
      </c>
      <c r="D724" s="3">
        <v>25</v>
      </c>
      <c r="E724" s="3">
        <v>6.5000000000000002E-2</v>
      </c>
      <c r="F724" s="3">
        <f t="shared" si="149"/>
        <v>3.068385758787318</v>
      </c>
      <c r="G724" s="5">
        <v>0.4</v>
      </c>
      <c r="H724" s="4">
        <v>25000000</v>
      </c>
      <c r="I724" s="4">
        <f t="shared" si="150"/>
        <v>25000000</v>
      </c>
      <c r="J724" s="3">
        <v>210000000000</v>
      </c>
      <c r="K724" s="4">
        <f t="shared" si="151"/>
        <v>8.4606656612149139E-2</v>
      </c>
      <c r="L724" s="6">
        <f t="shared" si="152"/>
        <v>2.1151664153037286</v>
      </c>
      <c r="M724" s="4">
        <f t="shared" si="153"/>
        <v>26414194.650217913</v>
      </c>
      <c r="N724" s="4">
        <f t="shared" si="154"/>
        <v>3301774331.2772393</v>
      </c>
      <c r="O724" s="4">
        <f t="shared" si="155"/>
        <v>687869652349.42493</v>
      </c>
      <c r="P724" s="4">
        <f t="shared" si="156"/>
        <v>-41272179140.965492</v>
      </c>
      <c r="Q724" s="4">
        <f t="shared" si="159"/>
        <v>0</v>
      </c>
      <c r="R724" s="4">
        <f t="shared" si="159"/>
        <v>0</v>
      </c>
      <c r="S724" s="4">
        <f t="shared" si="159"/>
        <v>0</v>
      </c>
      <c r="T724" s="3"/>
      <c r="U724" s="4">
        <f t="shared" si="157"/>
        <v>70000000</v>
      </c>
      <c r="V724">
        <f t="shared" si="158"/>
        <v>644361009345.33679</v>
      </c>
    </row>
    <row r="725" spans="1:22" x14ac:dyDescent="0.5">
      <c r="A725" s="3">
        <v>160</v>
      </c>
      <c r="B725" s="3">
        <v>0.99743918040000001</v>
      </c>
      <c r="C725" s="3">
        <v>5</v>
      </c>
      <c r="D725" s="3">
        <v>25</v>
      </c>
      <c r="E725" s="3">
        <v>6.5000000000000002E-2</v>
      </c>
      <c r="F725" s="3">
        <f t="shared" si="149"/>
        <v>3.068385758787318</v>
      </c>
      <c r="G725" s="5">
        <v>0.4</v>
      </c>
      <c r="H725" s="4">
        <v>25000000</v>
      </c>
      <c r="I725" s="4">
        <f t="shared" si="150"/>
        <v>24935979.510000002</v>
      </c>
      <c r="J725" s="3">
        <v>210000000000</v>
      </c>
      <c r="K725" s="4">
        <f t="shared" si="151"/>
        <v>8.4606656612149139E-2</v>
      </c>
      <c r="L725" s="6">
        <f t="shared" si="152"/>
        <v>2.1151664153037286</v>
      </c>
      <c r="M725" s="4">
        <f t="shared" si="153"/>
        <v>26340923.655593384</v>
      </c>
      <c r="N725" s="4">
        <f t="shared" si="154"/>
        <v>3292615456.949173</v>
      </c>
      <c r="O725" s="4">
        <f t="shared" si="155"/>
        <v>685961553531.07776</v>
      </c>
      <c r="P725" s="4">
        <f t="shared" si="156"/>
        <v>-41157693211.864662</v>
      </c>
      <c r="Q725" s="4">
        <f t="shared" si="159"/>
        <v>9158874.328066349</v>
      </c>
      <c r="R725" s="4">
        <f t="shared" si="159"/>
        <v>1908098818.347168</v>
      </c>
      <c r="S725" s="4">
        <f t="shared" si="159"/>
        <v>-114485929.10083008</v>
      </c>
      <c r="T725" s="3"/>
      <c r="U725" s="4">
        <f t="shared" si="157"/>
        <v>69820742.628000006</v>
      </c>
      <c r="V725">
        <f t="shared" si="158"/>
        <v>644361009345.33679</v>
      </c>
    </row>
    <row r="726" spans="1:22" x14ac:dyDescent="0.5">
      <c r="A726" s="3">
        <v>160</v>
      </c>
      <c r="B726" s="3">
        <v>0.99346991019999997</v>
      </c>
      <c r="C726" s="3">
        <v>5</v>
      </c>
      <c r="D726" s="3">
        <v>25</v>
      </c>
      <c r="E726" s="3">
        <v>6.5000000000000002E-2</v>
      </c>
      <c r="F726" s="3">
        <f t="shared" si="149"/>
        <v>3.068385758787318</v>
      </c>
      <c r="G726" s="5">
        <v>0.4</v>
      </c>
      <c r="H726" s="4">
        <v>25000000</v>
      </c>
      <c r="I726" s="4">
        <f t="shared" si="150"/>
        <v>24836747.754999999</v>
      </c>
      <c r="J726" s="3">
        <v>210000000000</v>
      </c>
      <c r="K726" s="4">
        <f t="shared" si="151"/>
        <v>8.4606656612149139E-2</v>
      </c>
      <c r="L726" s="6">
        <f t="shared" si="152"/>
        <v>2.1151664153037286</v>
      </c>
      <c r="M726" s="4">
        <f t="shared" si="153"/>
        <v>26227384.609459285</v>
      </c>
      <c r="N726" s="4">
        <f t="shared" si="154"/>
        <v>3278423076.1824107</v>
      </c>
      <c r="O726" s="4">
        <f t="shared" si="155"/>
        <v>683004807538.0022</v>
      </c>
      <c r="P726" s="4">
        <f t="shared" si="156"/>
        <v>-40980288452.280128</v>
      </c>
      <c r="Q726" s="4">
        <f t="shared" si="159"/>
        <v>14192380.766762257</v>
      </c>
      <c r="R726" s="4">
        <f t="shared" si="159"/>
        <v>2956745993.0755615</v>
      </c>
      <c r="S726" s="4">
        <f t="shared" si="159"/>
        <v>-177404759.58453369</v>
      </c>
      <c r="T726" s="3"/>
      <c r="U726" s="4">
        <f t="shared" si="157"/>
        <v>69542893.713999987</v>
      </c>
      <c r="V726">
        <f t="shared" si="158"/>
        <v>644361009345.33679</v>
      </c>
    </row>
    <row r="727" spans="1:22" x14ac:dyDescent="0.5">
      <c r="A727" s="3">
        <v>160</v>
      </c>
      <c r="B727" s="3">
        <v>0.9889884766</v>
      </c>
      <c r="C727" s="3">
        <v>5</v>
      </c>
      <c r="D727" s="3">
        <v>25</v>
      </c>
      <c r="E727" s="3">
        <v>6.5000000000000002E-2</v>
      </c>
      <c r="F727" s="3">
        <f t="shared" si="149"/>
        <v>3.068385758787318</v>
      </c>
      <c r="G727" s="5">
        <v>0.4</v>
      </c>
      <c r="H727" s="4">
        <v>25000000</v>
      </c>
      <c r="I727" s="4">
        <f t="shared" si="150"/>
        <v>24724711.914999999</v>
      </c>
      <c r="J727" s="3">
        <v>210000000000</v>
      </c>
      <c r="K727" s="4">
        <f t="shared" si="151"/>
        <v>8.4606656612149139E-2</v>
      </c>
      <c r="L727" s="6">
        <f t="shared" si="152"/>
        <v>2.1151664153037286</v>
      </c>
      <c r="M727" s="4">
        <f t="shared" si="153"/>
        <v>26099240.811495781</v>
      </c>
      <c r="N727" s="4">
        <f t="shared" si="154"/>
        <v>3262405101.4369726</v>
      </c>
      <c r="O727" s="4">
        <f t="shared" si="155"/>
        <v>679667729466.03601</v>
      </c>
      <c r="P727" s="4">
        <f t="shared" si="156"/>
        <v>-40780063767.962158</v>
      </c>
      <c r="Q727" s="4">
        <f t="shared" si="159"/>
        <v>16017974.745438099</v>
      </c>
      <c r="R727" s="4">
        <f t="shared" si="159"/>
        <v>3337078071.9661865</v>
      </c>
      <c r="S727" s="4">
        <f t="shared" si="159"/>
        <v>-200224684.31797028</v>
      </c>
      <c r="T727" s="3"/>
      <c r="U727" s="4">
        <f t="shared" si="157"/>
        <v>69229193.361999989</v>
      </c>
      <c r="V727">
        <f t="shared" si="158"/>
        <v>644361009345.33679</v>
      </c>
    </row>
    <row r="728" spans="1:22" x14ac:dyDescent="0.5">
      <c r="A728" s="3">
        <v>160</v>
      </c>
      <c r="B728" s="3">
        <v>0.98284251</v>
      </c>
      <c r="C728" s="3">
        <v>5</v>
      </c>
      <c r="D728" s="3">
        <v>25</v>
      </c>
      <c r="E728" s="3">
        <v>6.5000000000000002E-2</v>
      </c>
      <c r="F728" s="3">
        <f t="shared" si="149"/>
        <v>3.068385758787318</v>
      </c>
      <c r="G728" s="5">
        <v>0.4</v>
      </c>
      <c r="H728" s="4">
        <v>25000000</v>
      </c>
      <c r="I728" s="4">
        <f t="shared" si="150"/>
        <v>24571062.75</v>
      </c>
      <c r="J728" s="3">
        <v>210000000000</v>
      </c>
      <c r="K728" s="4">
        <f t="shared" si="151"/>
        <v>8.4606656612149139E-2</v>
      </c>
      <c r="L728" s="6">
        <f t="shared" si="152"/>
        <v>2.1151664153037286</v>
      </c>
      <c r="M728" s="4">
        <f t="shared" si="153"/>
        <v>25923579.442453183</v>
      </c>
      <c r="N728" s="4">
        <f t="shared" si="154"/>
        <v>3240447430.3066478</v>
      </c>
      <c r="O728" s="4">
        <f t="shared" si="155"/>
        <v>675093214647.21826</v>
      </c>
      <c r="P728" s="4">
        <f t="shared" si="156"/>
        <v>-40505592878.833099</v>
      </c>
      <c r="Q728" s="4">
        <f t="shared" si="159"/>
        <v>21957671.130324841</v>
      </c>
      <c r="R728" s="4">
        <f t="shared" si="159"/>
        <v>4574514818.817749</v>
      </c>
      <c r="S728" s="4">
        <f t="shared" si="159"/>
        <v>-274470889.12905884</v>
      </c>
      <c r="T728" s="3"/>
      <c r="U728" s="4">
        <f t="shared" si="157"/>
        <v>68798975.700000003</v>
      </c>
      <c r="V728">
        <f t="shared" si="158"/>
        <v>644361009345.33679</v>
      </c>
    </row>
    <row r="729" spans="1:22" x14ac:dyDescent="0.5">
      <c r="A729" s="3">
        <v>160</v>
      </c>
      <c r="B729" s="3">
        <v>0.97567221540000004</v>
      </c>
      <c r="C729" s="3">
        <v>5</v>
      </c>
      <c r="D729" s="3">
        <v>25</v>
      </c>
      <c r="E729" s="3">
        <v>6.5000000000000002E-2</v>
      </c>
      <c r="F729" s="3">
        <f t="shared" si="149"/>
        <v>3.068385758787318</v>
      </c>
      <c r="G729" s="5">
        <v>0.4</v>
      </c>
      <c r="H729" s="4">
        <v>25000000</v>
      </c>
      <c r="I729" s="4">
        <f t="shared" si="150"/>
        <v>24391805.385000002</v>
      </c>
      <c r="J729" s="3">
        <v>210000000000</v>
      </c>
      <c r="K729" s="4">
        <f t="shared" si="151"/>
        <v>8.4606656612149139E-2</v>
      </c>
      <c r="L729" s="6">
        <f t="shared" si="152"/>
        <v>2.1151664153037286</v>
      </c>
      <c r="M729" s="4">
        <f t="shared" si="153"/>
        <v>25718756.873277355</v>
      </c>
      <c r="N729" s="4">
        <f t="shared" si="154"/>
        <v>3214844609.1596694</v>
      </c>
      <c r="O729" s="4">
        <f t="shared" si="155"/>
        <v>669759293574.93103</v>
      </c>
      <c r="P729" s="4">
        <f t="shared" si="156"/>
        <v>-40185557614.495865</v>
      </c>
      <c r="Q729" s="4">
        <f t="shared" si="159"/>
        <v>25602821.146978378</v>
      </c>
      <c r="R729" s="4">
        <f t="shared" si="159"/>
        <v>5333921072.2872314</v>
      </c>
      <c r="S729" s="4">
        <f t="shared" si="159"/>
        <v>-320035264.3372345</v>
      </c>
      <c r="T729" s="3"/>
      <c r="U729" s="4">
        <f t="shared" si="157"/>
        <v>68297055.077999994</v>
      </c>
      <c r="V729">
        <f t="shared" si="158"/>
        <v>644361009345.33679</v>
      </c>
    </row>
    <row r="730" spans="1:22" x14ac:dyDescent="0.5">
      <c r="A730" s="3">
        <v>160</v>
      </c>
      <c r="B730" s="3">
        <v>0.96696542879999992</v>
      </c>
      <c r="C730" s="3">
        <v>5</v>
      </c>
      <c r="D730" s="3">
        <v>25</v>
      </c>
      <c r="E730" s="3">
        <v>6.5000000000000002E-2</v>
      </c>
      <c r="F730" s="3">
        <f t="shared" si="149"/>
        <v>3.068385758787318</v>
      </c>
      <c r="G730" s="5">
        <v>0.4</v>
      </c>
      <c r="H730" s="4">
        <v>25000000</v>
      </c>
      <c r="I730" s="4">
        <f t="shared" si="150"/>
        <v>24174135.719999999</v>
      </c>
      <c r="J730" s="3">
        <v>210000000000</v>
      </c>
      <c r="K730" s="4">
        <f t="shared" si="151"/>
        <v>8.4606656612149139E-2</v>
      </c>
      <c r="L730" s="6">
        <f t="shared" si="152"/>
        <v>2.1151664153037286</v>
      </c>
      <c r="M730" s="4">
        <f t="shared" si="153"/>
        <v>25470212.413807742</v>
      </c>
      <c r="N730" s="4">
        <f t="shared" si="154"/>
        <v>3183776551.7259679</v>
      </c>
      <c r="O730" s="4">
        <f t="shared" si="155"/>
        <v>663286781609.57666</v>
      </c>
      <c r="P730" s="4">
        <f t="shared" si="156"/>
        <v>-39797206896.5746</v>
      </c>
      <c r="Q730" s="4">
        <f t="shared" si="159"/>
        <v>31068057.433701515</v>
      </c>
      <c r="R730" s="4">
        <f t="shared" si="159"/>
        <v>6472511965.3543701</v>
      </c>
      <c r="S730" s="4">
        <f t="shared" si="159"/>
        <v>-388350717.92126465</v>
      </c>
      <c r="T730" s="3"/>
      <c r="U730" s="4">
        <f t="shared" si="157"/>
        <v>67687580.015999988</v>
      </c>
      <c r="V730">
        <f t="shared" si="158"/>
        <v>644361009345.33679</v>
      </c>
    </row>
    <row r="731" spans="1:22" x14ac:dyDescent="0.5">
      <c r="A731" s="3">
        <v>160</v>
      </c>
      <c r="B731" s="3">
        <v>0.95608194619999998</v>
      </c>
      <c r="C731" s="3">
        <v>5</v>
      </c>
      <c r="D731" s="3">
        <v>25</v>
      </c>
      <c r="E731" s="3">
        <v>6.5000000000000002E-2</v>
      </c>
      <c r="F731" s="3">
        <f t="shared" si="149"/>
        <v>3.068385758787318</v>
      </c>
      <c r="G731" s="5">
        <v>0.4</v>
      </c>
      <c r="H731" s="4">
        <v>25000000</v>
      </c>
      <c r="I731" s="4">
        <f t="shared" si="150"/>
        <v>23902048.655000001</v>
      </c>
      <c r="J731" s="3">
        <v>210000000000</v>
      </c>
      <c r="K731" s="4">
        <f t="shared" si="151"/>
        <v>8.4606656612149139E-2</v>
      </c>
      <c r="L731" s="6">
        <f t="shared" si="152"/>
        <v>2.1151664153037286</v>
      </c>
      <c r="M731" s="4">
        <f t="shared" si="153"/>
        <v>25159794.204494148</v>
      </c>
      <c r="N731" s="4">
        <f t="shared" si="154"/>
        <v>3144974275.5617685</v>
      </c>
      <c r="O731" s="4">
        <f t="shared" si="155"/>
        <v>655202974075.36853</v>
      </c>
      <c r="P731" s="4">
        <f t="shared" si="156"/>
        <v>-39312178444.52211</v>
      </c>
      <c r="Q731" s="4">
        <f t="shared" si="159"/>
        <v>38802276.164199352</v>
      </c>
      <c r="R731" s="4">
        <f t="shared" si="159"/>
        <v>8083807534.2081299</v>
      </c>
      <c r="S731" s="4">
        <f t="shared" si="159"/>
        <v>-485028452.05249023</v>
      </c>
      <c r="T731" s="3"/>
      <c r="U731" s="4">
        <f t="shared" si="157"/>
        <v>66925736.233999997</v>
      </c>
      <c r="V731">
        <f t="shared" si="158"/>
        <v>644361009345.33679</v>
      </c>
    </row>
    <row r="732" spans="1:22" x14ac:dyDescent="0.5">
      <c r="A732" s="3">
        <v>160</v>
      </c>
      <c r="B732" s="3">
        <v>0.94302176699999996</v>
      </c>
      <c r="C732" s="3">
        <v>5</v>
      </c>
      <c r="D732" s="3">
        <v>25</v>
      </c>
      <c r="E732" s="3">
        <v>6.5000000000000002E-2</v>
      </c>
      <c r="F732" s="3">
        <f t="shared" si="149"/>
        <v>3.068385758787318</v>
      </c>
      <c r="G732" s="5">
        <v>0.4</v>
      </c>
      <c r="H732" s="4">
        <v>25000000</v>
      </c>
      <c r="I732" s="4">
        <f t="shared" si="150"/>
        <v>23575544.174999997</v>
      </c>
      <c r="J732" s="3">
        <v>210000000000</v>
      </c>
      <c r="K732" s="4">
        <f t="shared" si="151"/>
        <v>8.4606656612149139E-2</v>
      </c>
      <c r="L732" s="6">
        <f t="shared" si="152"/>
        <v>2.1151664153037286</v>
      </c>
      <c r="M732" s="4">
        <f t="shared" si="153"/>
        <v>24787681.145140067</v>
      </c>
      <c r="N732" s="4">
        <f t="shared" si="154"/>
        <v>3098460143.1425085</v>
      </c>
      <c r="O732" s="4">
        <f t="shared" si="155"/>
        <v>645512529821.35583</v>
      </c>
      <c r="P732" s="4">
        <f t="shared" si="156"/>
        <v>-38730751789.281357</v>
      </c>
      <c r="Q732" s="4">
        <f t="shared" si="159"/>
        <v>46514132.419260025</v>
      </c>
      <c r="R732" s="4">
        <f t="shared" si="159"/>
        <v>9690444254.0126953</v>
      </c>
      <c r="S732" s="4">
        <f t="shared" si="159"/>
        <v>-581426655.24075317</v>
      </c>
      <c r="T732" s="3"/>
      <c r="U732" s="4">
        <f t="shared" si="157"/>
        <v>66011523.68999999</v>
      </c>
      <c r="V732">
        <f t="shared" si="158"/>
        <v>644361009345.33679</v>
      </c>
    </row>
    <row r="733" spans="1:22" x14ac:dyDescent="0.5">
      <c r="A733" s="3">
        <v>160</v>
      </c>
      <c r="B733" s="3">
        <v>0.92906530080000005</v>
      </c>
      <c r="C733" s="3">
        <v>5</v>
      </c>
      <c r="D733" s="3">
        <v>25</v>
      </c>
      <c r="E733" s="3">
        <v>6.5000000000000002E-2</v>
      </c>
      <c r="F733" s="3">
        <f t="shared" si="149"/>
        <v>3.068385758787318</v>
      </c>
      <c r="G733" s="5">
        <v>0.4</v>
      </c>
      <c r="H733" s="4">
        <v>25000000</v>
      </c>
      <c r="I733" s="4">
        <f t="shared" si="150"/>
        <v>23226632.52</v>
      </c>
      <c r="J733" s="3">
        <v>210000000000</v>
      </c>
      <c r="K733" s="4">
        <f t="shared" si="151"/>
        <v>8.4606656612149139E-2</v>
      </c>
      <c r="L733" s="6">
        <f t="shared" si="152"/>
        <v>2.1151664153037286</v>
      </c>
      <c r="M733" s="4">
        <f t="shared" si="153"/>
        <v>24390505.467713971</v>
      </c>
      <c r="N733" s="4">
        <f t="shared" si="154"/>
        <v>3048813183.4642463</v>
      </c>
      <c r="O733" s="4">
        <f t="shared" si="155"/>
        <v>635169413221.7179</v>
      </c>
      <c r="P733" s="4">
        <f t="shared" si="156"/>
        <v>-38110164793.303078</v>
      </c>
      <c r="Q733" s="4">
        <f t="shared" si="159"/>
        <v>49646959.678262234</v>
      </c>
      <c r="R733" s="4">
        <f t="shared" si="159"/>
        <v>10343116599.637939</v>
      </c>
      <c r="S733" s="4">
        <f t="shared" si="159"/>
        <v>-620586995.97827911</v>
      </c>
      <c r="T733" s="3"/>
      <c r="U733" s="4">
        <f t="shared" si="157"/>
        <v>65034571.055999994</v>
      </c>
      <c r="V733">
        <f t="shared" si="158"/>
        <v>644361009345.33679</v>
      </c>
    </row>
    <row r="734" spans="1:22" x14ac:dyDescent="0.5">
      <c r="A734" s="3">
        <v>160</v>
      </c>
      <c r="B734" s="3">
        <v>0.91216389220000005</v>
      </c>
      <c r="C734" s="3">
        <v>5</v>
      </c>
      <c r="D734" s="3">
        <v>25</v>
      </c>
      <c r="E734" s="3">
        <v>6.5000000000000002E-2</v>
      </c>
      <c r="F734" s="3">
        <f t="shared" si="149"/>
        <v>3.068385758787318</v>
      </c>
      <c r="G734" s="5">
        <v>0.4</v>
      </c>
      <c r="H734" s="4">
        <v>25000000</v>
      </c>
      <c r="I734" s="4">
        <f t="shared" si="150"/>
        <v>22804097.305</v>
      </c>
      <c r="J734" s="3">
        <v>210000000000</v>
      </c>
      <c r="K734" s="4">
        <f t="shared" si="151"/>
        <v>8.4606656612149139E-2</v>
      </c>
      <c r="L734" s="6">
        <f t="shared" si="152"/>
        <v>2.1151664153037286</v>
      </c>
      <c r="M734" s="4">
        <f t="shared" si="153"/>
        <v>23910187.975088187</v>
      </c>
      <c r="N734" s="4">
        <f t="shared" si="154"/>
        <v>2988773496.886023</v>
      </c>
      <c r="O734" s="4">
        <f t="shared" si="155"/>
        <v>622661145184.58813</v>
      </c>
      <c r="P734" s="4">
        <f t="shared" si="156"/>
        <v>-37359668711.075287</v>
      </c>
      <c r="Q734" s="4">
        <f t="shared" si="159"/>
        <v>60039686.578223228</v>
      </c>
      <c r="R734" s="4">
        <f t="shared" si="159"/>
        <v>12508268037.129761</v>
      </c>
      <c r="S734" s="4">
        <f t="shared" si="159"/>
        <v>-750496082.22779083</v>
      </c>
      <c r="T734" s="3"/>
      <c r="U734" s="4">
        <f t="shared" si="157"/>
        <v>63851472.453999996</v>
      </c>
      <c r="V734">
        <f t="shared" si="158"/>
        <v>644361009345.33679</v>
      </c>
    </row>
    <row r="735" spans="1:22" x14ac:dyDescent="0.5">
      <c r="A735" s="3">
        <v>160</v>
      </c>
      <c r="B735" s="3">
        <v>0.89193341859999997</v>
      </c>
      <c r="C735" s="3">
        <v>5</v>
      </c>
      <c r="D735" s="3">
        <v>25</v>
      </c>
      <c r="E735" s="3">
        <v>6.5000000000000002E-2</v>
      </c>
      <c r="F735" s="3">
        <f t="shared" si="149"/>
        <v>3.068385758787318</v>
      </c>
      <c r="G735" s="5">
        <v>0.4</v>
      </c>
      <c r="H735" s="4">
        <v>25000000</v>
      </c>
      <c r="I735" s="4">
        <f t="shared" si="150"/>
        <v>22298335.465</v>
      </c>
      <c r="J735" s="3">
        <v>210000000000</v>
      </c>
      <c r="K735" s="4">
        <f t="shared" si="151"/>
        <v>8.4606656612149139E-2</v>
      </c>
      <c r="L735" s="6">
        <f t="shared" si="152"/>
        <v>2.1151664153037286</v>
      </c>
      <c r="M735" s="4">
        <f t="shared" si="153"/>
        <v>23336238.056911964</v>
      </c>
      <c r="N735" s="4">
        <f t="shared" si="154"/>
        <v>2917029757.1139956</v>
      </c>
      <c r="O735" s="4">
        <f t="shared" si="155"/>
        <v>607714532732.0824</v>
      </c>
      <c r="P735" s="4">
        <f t="shared" si="156"/>
        <v>-36462871963.924942</v>
      </c>
      <c r="Q735" s="4">
        <f t="shared" si="159"/>
        <v>71743739.772027493</v>
      </c>
      <c r="R735" s="4">
        <f t="shared" si="159"/>
        <v>14946612452.505737</v>
      </c>
      <c r="S735" s="4">
        <f t="shared" si="159"/>
        <v>-896796747.15034485</v>
      </c>
      <c r="T735" s="3"/>
      <c r="U735" s="4">
        <f t="shared" si="157"/>
        <v>62435339.301999994</v>
      </c>
      <c r="V735">
        <f t="shared" si="158"/>
        <v>644361009345.33679</v>
      </c>
    </row>
    <row r="736" spans="1:22" x14ac:dyDescent="0.5">
      <c r="A736" s="3">
        <v>160</v>
      </c>
      <c r="B736" s="3">
        <v>0.86888604339999997</v>
      </c>
      <c r="C736" s="3">
        <v>5</v>
      </c>
      <c r="D736" s="3">
        <v>25</v>
      </c>
      <c r="E736" s="3">
        <v>6.5000000000000002E-2</v>
      </c>
      <c r="F736" s="3">
        <f t="shared" si="149"/>
        <v>3.068385758787318</v>
      </c>
      <c r="G736" s="5">
        <v>0.4</v>
      </c>
      <c r="H736" s="4">
        <v>25000000</v>
      </c>
      <c r="I736" s="4">
        <f t="shared" si="150"/>
        <v>21722151.085000001</v>
      </c>
      <c r="J736" s="3">
        <v>210000000000</v>
      </c>
      <c r="K736" s="4">
        <f t="shared" si="151"/>
        <v>8.4606656612149139E-2</v>
      </c>
      <c r="L736" s="6">
        <f t="shared" si="152"/>
        <v>2.1151664153037286</v>
      </c>
      <c r="M736" s="4">
        <f t="shared" si="153"/>
        <v>22683693.145061146</v>
      </c>
      <c r="N736" s="4">
        <f t="shared" si="154"/>
        <v>2835461643.1326432</v>
      </c>
      <c r="O736" s="4">
        <f t="shared" si="155"/>
        <v>590721175652.63403</v>
      </c>
      <c r="P736" s="4">
        <f t="shared" si="156"/>
        <v>-35443270539.158043</v>
      </c>
      <c r="Q736" s="4">
        <f t="shared" si="159"/>
        <v>81568113.981352329</v>
      </c>
      <c r="R736" s="4">
        <f t="shared" si="159"/>
        <v>16993357079.448364</v>
      </c>
      <c r="S736" s="4">
        <f t="shared" si="159"/>
        <v>-1019601424.7668991</v>
      </c>
      <c r="T736" s="3"/>
      <c r="U736" s="4">
        <f t="shared" si="157"/>
        <v>60822023.037999995</v>
      </c>
      <c r="V736">
        <f t="shared" si="158"/>
        <v>644361009345.33679</v>
      </c>
    </row>
    <row r="737" spans="1:22" x14ac:dyDescent="0.5">
      <c r="A737" s="3">
        <v>160</v>
      </c>
      <c r="B737" s="3">
        <v>0.84263764419999998</v>
      </c>
      <c r="C737" s="3">
        <v>5</v>
      </c>
      <c r="D737" s="3">
        <v>25</v>
      </c>
      <c r="E737" s="3">
        <v>6.5000000000000002E-2</v>
      </c>
      <c r="F737" s="3">
        <f t="shared" si="149"/>
        <v>3.068385758787318</v>
      </c>
      <c r="G737" s="5">
        <v>0.4</v>
      </c>
      <c r="H737" s="4">
        <v>25000000</v>
      </c>
      <c r="I737" s="4">
        <f t="shared" si="150"/>
        <v>21065941.105</v>
      </c>
      <c r="J737" s="3">
        <v>210000000000</v>
      </c>
      <c r="K737" s="4">
        <f t="shared" si="151"/>
        <v>8.4606656612149139E-2</v>
      </c>
      <c r="L737" s="6">
        <f t="shared" si="152"/>
        <v>2.1151664153037286</v>
      </c>
      <c r="M737" s="4">
        <f t="shared" si="153"/>
        <v>21942274.087155301</v>
      </c>
      <c r="N737" s="4">
        <f t="shared" si="154"/>
        <v>2742784260.8944125</v>
      </c>
      <c r="O737" s="4">
        <f t="shared" si="155"/>
        <v>571413387686.33594</v>
      </c>
      <c r="P737" s="4">
        <f t="shared" si="156"/>
        <v>-34284803261.180157</v>
      </c>
      <c r="Q737" s="4">
        <f t="shared" si="159"/>
        <v>92677382.238230705</v>
      </c>
      <c r="R737" s="4">
        <f t="shared" si="159"/>
        <v>19307787966.298096</v>
      </c>
      <c r="S737" s="4">
        <f t="shared" si="159"/>
        <v>-1158467277.9778862</v>
      </c>
      <c r="T737" s="3"/>
      <c r="U737" s="4">
        <f t="shared" si="157"/>
        <v>58984635.093999997</v>
      </c>
      <c r="V737">
        <f t="shared" si="158"/>
        <v>644361009345.33679</v>
      </c>
    </row>
    <row r="738" spans="1:22" x14ac:dyDescent="0.5">
      <c r="A738" s="3">
        <v>160</v>
      </c>
      <c r="B738" s="3">
        <v>0.81318822039999994</v>
      </c>
      <c r="C738" s="3">
        <v>5</v>
      </c>
      <c r="D738" s="3">
        <v>25</v>
      </c>
      <c r="E738" s="3">
        <v>6.5000000000000002E-2</v>
      </c>
      <c r="F738" s="3">
        <f t="shared" si="149"/>
        <v>3.068385758787318</v>
      </c>
      <c r="G738" s="5">
        <v>0.4</v>
      </c>
      <c r="H738" s="4">
        <v>25000000</v>
      </c>
      <c r="I738" s="4">
        <f t="shared" si="150"/>
        <v>20329705.509999998</v>
      </c>
      <c r="J738" s="3">
        <v>210000000000</v>
      </c>
      <c r="K738" s="4">
        <f t="shared" si="151"/>
        <v>8.4606656612149139E-2</v>
      </c>
      <c r="L738" s="6">
        <f t="shared" si="152"/>
        <v>2.1151664153037286</v>
      </c>
      <c r="M738" s="4">
        <f t="shared" si="153"/>
        <v>21112729.141035851</v>
      </c>
      <c r="N738" s="4">
        <f t="shared" si="154"/>
        <v>2639091142.6294813</v>
      </c>
      <c r="O738" s="4">
        <f t="shared" si="155"/>
        <v>549810654714.47534</v>
      </c>
      <c r="P738" s="4">
        <f t="shared" si="156"/>
        <v>-32988639282.868519</v>
      </c>
      <c r="Q738" s="4">
        <f t="shared" si="159"/>
        <v>103693118.2649312</v>
      </c>
      <c r="R738" s="4">
        <f t="shared" si="159"/>
        <v>21602732971.860596</v>
      </c>
      <c r="S738" s="4">
        <f t="shared" si="159"/>
        <v>-1296163978.3116379</v>
      </c>
      <c r="T738" s="3"/>
      <c r="U738" s="4">
        <f t="shared" si="157"/>
        <v>56923175.427999988</v>
      </c>
      <c r="V738">
        <f t="shared" si="158"/>
        <v>644361009345.33679</v>
      </c>
    </row>
    <row r="739" spans="1:22" x14ac:dyDescent="0.5">
      <c r="A739" s="3">
        <v>160</v>
      </c>
      <c r="B739" s="3">
        <v>0.77823303420000001</v>
      </c>
      <c r="C739" s="3">
        <v>5</v>
      </c>
      <c r="D739" s="3">
        <v>25</v>
      </c>
      <c r="E739" s="3">
        <v>6.5000000000000002E-2</v>
      </c>
      <c r="F739" s="3">
        <f t="shared" si="149"/>
        <v>3.068385758787318</v>
      </c>
      <c r="G739" s="5">
        <v>0.4</v>
      </c>
      <c r="H739" s="4">
        <v>25000000</v>
      </c>
      <c r="I739" s="4">
        <f t="shared" si="150"/>
        <v>19455825.855</v>
      </c>
      <c r="J739" s="3">
        <v>210000000000</v>
      </c>
      <c r="K739" s="4">
        <f t="shared" si="151"/>
        <v>8.4606656612149139E-2</v>
      </c>
      <c r="L739" s="6">
        <f t="shared" si="152"/>
        <v>2.1151664153037286</v>
      </c>
      <c r="M739" s="4">
        <f t="shared" si="153"/>
        <v>20131347.275445864</v>
      </c>
      <c r="N739" s="4">
        <f t="shared" si="154"/>
        <v>2516418409.4307327</v>
      </c>
      <c r="O739" s="4">
        <f t="shared" si="155"/>
        <v>524253835298.06934</v>
      </c>
      <c r="P739" s="4">
        <f t="shared" si="156"/>
        <v>-31455230117.884163</v>
      </c>
      <c r="Q739" s="4">
        <f t="shared" si="159"/>
        <v>122672733.19874859</v>
      </c>
      <c r="R739" s="4">
        <f t="shared" si="159"/>
        <v>25556819416.406006</v>
      </c>
      <c r="S739" s="4">
        <f t="shared" si="159"/>
        <v>-1533409164.9843559</v>
      </c>
      <c r="T739" s="3"/>
      <c r="U739" s="4">
        <f t="shared" si="157"/>
        <v>54476312.394000001</v>
      </c>
      <c r="V739">
        <f t="shared" si="158"/>
        <v>644361009345.33679</v>
      </c>
    </row>
    <row r="740" spans="1:22" x14ac:dyDescent="0.5">
      <c r="A740" s="3">
        <v>160</v>
      </c>
      <c r="B740" s="3">
        <v>0.74007682500000005</v>
      </c>
      <c r="C740" s="3">
        <v>5</v>
      </c>
      <c r="D740" s="3">
        <v>25</v>
      </c>
      <c r="E740" s="3">
        <v>6.5000000000000002E-2</v>
      </c>
      <c r="F740" s="3">
        <f t="shared" si="149"/>
        <v>3.068385758787318</v>
      </c>
      <c r="G740" s="5">
        <v>0.4</v>
      </c>
      <c r="H740" s="4">
        <v>25000000</v>
      </c>
      <c r="I740" s="4">
        <f t="shared" si="150"/>
        <v>18501920.625</v>
      </c>
      <c r="J740" s="3">
        <v>210000000000</v>
      </c>
      <c r="K740" s="4">
        <f t="shared" si="151"/>
        <v>8.4606656612149139E-2</v>
      </c>
      <c r="L740" s="6">
        <f t="shared" si="152"/>
        <v>2.1151664153037286</v>
      </c>
      <c r="M740" s="4">
        <f t="shared" si="153"/>
        <v>19064287.513004951</v>
      </c>
      <c r="N740" s="4">
        <f t="shared" si="154"/>
        <v>2383035939.1256189</v>
      </c>
      <c r="O740" s="4">
        <f t="shared" si="155"/>
        <v>496465820651.17065</v>
      </c>
      <c r="P740" s="4">
        <f t="shared" si="156"/>
        <v>-29787949239.07024</v>
      </c>
      <c r="Q740" s="4">
        <f t="shared" si="159"/>
        <v>133382470.30511379</v>
      </c>
      <c r="R740" s="4">
        <f t="shared" si="159"/>
        <v>27788014646.898682</v>
      </c>
      <c r="S740" s="4">
        <f t="shared" si="159"/>
        <v>-1667280878.8139229</v>
      </c>
      <c r="T740" s="3"/>
      <c r="U740" s="4">
        <f t="shared" si="157"/>
        <v>51805377.75</v>
      </c>
      <c r="V740">
        <f t="shared" si="158"/>
        <v>644361009345.33679</v>
      </c>
    </row>
    <row r="741" spans="1:22" x14ac:dyDescent="0.5">
      <c r="A741" s="3">
        <v>160</v>
      </c>
      <c r="B741" s="3">
        <v>0.69807938540000003</v>
      </c>
      <c r="C741" s="3">
        <v>5</v>
      </c>
      <c r="D741" s="3">
        <v>25</v>
      </c>
      <c r="E741" s="3">
        <v>6.5000000000000002E-2</v>
      </c>
      <c r="F741" s="3">
        <f t="shared" si="149"/>
        <v>3.068385758787318</v>
      </c>
      <c r="G741" s="5">
        <v>0.4</v>
      </c>
      <c r="H741" s="4">
        <v>25000000</v>
      </c>
      <c r="I741" s="4">
        <f t="shared" si="150"/>
        <v>17451984.635000002</v>
      </c>
      <c r="J741" s="3">
        <v>210000000000</v>
      </c>
      <c r="K741" s="4">
        <f t="shared" si="151"/>
        <v>8.4606656612149139E-2</v>
      </c>
      <c r="L741" s="6">
        <f t="shared" si="152"/>
        <v>2.1151664153037286</v>
      </c>
      <c r="M741" s="4">
        <f t="shared" si="153"/>
        <v>17895105.164314035</v>
      </c>
      <c r="N741" s="4">
        <f t="shared" si="154"/>
        <v>2236888145.5392542</v>
      </c>
      <c r="O741" s="4">
        <f t="shared" si="155"/>
        <v>466018363654.01129</v>
      </c>
      <c r="P741" s="4">
        <f t="shared" si="156"/>
        <v>-27961101819.240681</v>
      </c>
      <c r="Q741" s="4">
        <f t="shared" si="159"/>
        <v>146147793.58636475</v>
      </c>
      <c r="R741" s="4">
        <f t="shared" si="159"/>
        <v>30447456997.159363</v>
      </c>
      <c r="S741" s="4">
        <f t="shared" si="159"/>
        <v>-1826847419.8295593</v>
      </c>
      <c r="T741" s="3"/>
      <c r="U741" s="4">
        <f t="shared" si="157"/>
        <v>48865556.978</v>
      </c>
      <c r="V741">
        <f t="shared" si="158"/>
        <v>644361009345.33679</v>
      </c>
    </row>
    <row r="742" spans="1:22" x14ac:dyDescent="0.5">
      <c r="A742" s="3">
        <v>160</v>
      </c>
      <c r="B742" s="3">
        <v>0.65364916800000006</v>
      </c>
      <c r="C742" s="3">
        <v>5</v>
      </c>
      <c r="D742" s="3">
        <v>25</v>
      </c>
      <c r="E742" s="3">
        <v>6.5000000000000002E-2</v>
      </c>
      <c r="F742" s="3">
        <f t="shared" si="149"/>
        <v>3.068385758787318</v>
      </c>
      <c r="G742" s="5">
        <v>0.4</v>
      </c>
      <c r="H742" s="4">
        <v>25000000</v>
      </c>
      <c r="I742" s="4">
        <f t="shared" si="150"/>
        <v>16341229.200000001</v>
      </c>
      <c r="J742" s="3">
        <v>210000000000</v>
      </c>
      <c r="K742" s="4">
        <f t="shared" si="151"/>
        <v>8.4606656612149139E-2</v>
      </c>
      <c r="L742" s="6">
        <f t="shared" si="152"/>
        <v>2.1151664153037286</v>
      </c>
      <c r="M742" s="4">
        <f t="shared" si="153"/>
        <v>16664571.307743752</v>
      </c>
      <c r="N742" s="4">
        <f t="shared" si="154"/>
        <v>2083071413.4679689</v>
      </c>
      <c r="O742" s="4">
        <f t="shared" si="155"/>
        <v>433973211139.16022</v>
      </c>
      <c r="P742" s="4">
        <f t="shared" si="156"/>
        <v>-26038392668.349613</v>
      </c>
      <c r="Q742" s="4">
        <f t="shared" si="159"/>
        <v>153816732.07128525</v>
      </c>
      <c r="R742" s="4">
        <f t="shared" si="159"/>
        <v>32045152514.851074</v>
      </c>
      <c r="S742" s="4">
        <f t="shared" si="159"/>
        <v>-1922709150.8910675</v>
      </c>
      <c r="T742" s="3"/>
      <c r="U742" s="4">
        <f t="shared" si="157"/>
        <v>45755441.759999998</v>
      </c>
      <c r="V742">
        <f t="shared" si="158"/>
        <v>644361009345.33679</v>
      </c>
    </row>
    <row r="743" spans="1:22" x14ac:dyDescent="0.5">
      <c r="A743" s="3">
        <v>160</v>
      </c>
      <c r="B743" s="3">
        <v>0.60601792539999999</v>
      </c>
      <c r="C743" s="3">
        <v>5</v>
      </c>
      <c r="D743" s="3">
        <v>25</v>
      </c>
      <c r="E743" s="3">
        <v>6.5000000000000002E-2</v>
      </c>
      <c r="F743" s="3">
        <f t="shared" si="149"/>
        <v>3.068385758787318</v>
      </c>
      <c r="G743" s="5">
        <v>0.4</v>
      </c>
      <c r="H743" s="4">
        <v>25000000</v>
      </c>
      <c r="I743" s="4">
        <f t="shared" si="150"/>
        <v>15150448.135</v>
      </c>
      <c r="J743" s="3">
        <v>210000000000</v>
      </c>
      <c r="K743" s="4">
        <f t="shared" si="151"/>
        <v>8.4606656612149139E-2</v>
      </c>
      <c r="L743" s="6">
        <f t="shared" si="152"/>
        <v>2.1151664153037286</v>
      </c>
      <c r="M743" s="4">
        <f t="shared" si="153"/>
        <v>15353119.613410501</v>
      </c>
      <c r="N743" s="4">
        <f t="shared" si="154"/>
        <v>1919139951.6763124</v>
      </c>
      <c r="O743" s="4">
        <f t="shared" si="155"/>
        <v>399820823265.89844</v>
      </c>
      <c r="P743" s="4">
        <f t="shared" si="156"/>
        <v>-23989249395.953907</v>
      </c>
      <c r="Q743" s="4">
        <f t="shared" si="159"/>
        <v>163931461.79165649</v>
      </c>
      <c r="R743" s="4">
        <f t="shared" si="159"/>
        <v>34152387873.26178</v>
      </c>
      <c r="S743" s="4">
        <f t="shared" si="159"/>
        <v>-2049143272.3957062</v>
      </c>
      <c r="T743" s="3"/>
      <c r="U743" s="4">
        <f t="shared" si="157"/>
        <v>42421254.777999997</v>
      </c>
      <c r="V743">
        <f t="shared" si="158"/>
        <v>644361009345.33679</v>
      </c>
    </row>
    <row r="744" spans="1:22" x14ac:dyDescent="0.5">
      <c r="A744" s="3">
        <v>160</v>
      </c>
      <c r="B744" s="3">
        <v>0.55288092199999994</v>
      </c>
      <c r="C744" s="3">
        <v>5</v>
      </c>
      <c r="D744" s="3">
        <v>25</v>
      </c>
      <c r="E744" s="3">
        <v>6.5000000000000002E-2</v>
      </c>
      <c r="F744" s="3">
        <f t="shared" si="149"/>
        <v>3.068385758787318</v>
      </c>
      <c r="G744" s="5">
        <v>0.4</v>
      </c>
      <c r="H744" s="4">
        <v>25000000</v>
      </c>
      <c r="I744" s="4">
        <f t="shared" si="150"/>
        <v>13822023.049999999</v>
      </c>
      <c r="J744" s="3">
        <v>210000000000</v>
      </c>
      <c r="K744" s="4">
        <f t="shared" si="151"/>
        <v>8.4606656612149139E-2</v>
      </c>
      <c r="L744" s="6">
        <f t="shared" si="152"/>
        <v>2.1151664153037286</v>
      </c>
      <c r="M744" s="4">
        <f t="shared" si="153"/>
        <v>13900218.011131251</v>
      </c>
      <c r="N744" s="4">
        <f t="shared" si="154"/>
        <v>1737527251.3914063</v>
      </c>
      <c r="O744" s="4">
        <f t="shared" si="155"/>
        <v>361984844039.87634</v>
      </c>
      <c r="P744" s="4">
        <f t="shared" si="156"/>
        <v>-21719090642.392578</v>
      </c>
      <c r="Q744" s="4">
        <f t="shared" si="159"/>
        <v>181612700.28490615</v>
      </c>
      <c r="R744" s="4">
        <f t="shared" si="159"/>
        <v>37835979226.022095</v>
      </c>
      <c r="S744" s="4">
        <f t="shared" si="159"/>
        <v>-2270158753.5613289</v>
      </c>
      <c r="T744" s="3"/>
      <c r="U744" s="4">
        <f t="shared" si="157"/>
        <v>38701664.539999992</v>
      </c>
      <c r="V744">
        <f t="shared" si="158"/>
        <v>644361009345.33679</v>
      </c>
    </row>
    <row r="745" spans="1:22" x14ac:dyDescent="0.5">
      <c r="A745" s="3">
        <v>160</v>
      </c>
      <c r="B745" s="3">
        <v>0.49193341879999997</v>
      </c>
      <c r="C745" s="3">
        <v>5</v>
      </c>
      <c r="D745" s="3">
        <v>25</v>
      </c>
      <c r="E745" s="3">
        <v>6.5000000000000002E-2</v>
      </c>
      <c r="F745" s="3">
        <f t="shared" si="149"/>
        <v>3.068385758787318</v>
      </c>
      <c r="G745" s="5">
        <v>0.4</v>
      </c>
      <c r="H745" s="4">
        <v>25000000</v>
      </c>
      <c r="I745" s="4">
        <f t="shared" si="150"/>
        <v>12298335.469999999</v>
      </c>
      <c r="J745" s="3">
        <v>210000000000</v>
      </c>
      <c r="K745" s="4">
        <f t="shared" si="151"/>
        <v>8.4606656612149139E-2</v>
      </c>
      <c r="L745" s="6">
        <f t="shared" si="152"/>
        <v>2.1151664153037286</v>
      </c>
      <c r="M745" s="4">
        <f t="shared" si="153"/>
        <v>12248114.223930694</v>
      </c>
      <c r="N745" s="4">
        <f t="shared" si="154"/>
        <v>1531014277.9913368</v>
      </c>
      <c r="O745" s="4">
        <f t="shared" si="155"/>
        <v>318961307914.86182</v>
      </c>
      <c r="P745" s="4">
        <f t="shared" si="156"/>
        <v>-19137678474.891708</v>
      </c>
      <c r="Q745" s="4">
        <f t="shared" si="159"/>
        <v>206512973.40006948</v>
      </c>
      <c r="R745" s="4">
        <f t="shared" si="159"/>
        <v>43023536125.014526</v>
      </c>
      <c r="S745" s="4">
        <f t="shared" si="159"/>
        <v>-2581412167.5008698</v>
      </c>
      <c r="T745" s="3"/>
      <c r="U745" s="4">
        <f t="shared" si="157"/>
        <v>34435339.315999992</v>
      </c>
      <c r="V745">
        <f t="shared" si="158"/>
        <v>644361009345.33679</v>
      </c>
    </row>
    <row r="746" spans="1:22" x14ac:dyDescent="0.5">
      <c r="A746" s="3">
        <v>160</v>
      </c>
      <c r="B746" s="3">
        <v>0.43380281679999999</v>
      </c>
      <c r="C746" s="3">
        <v>5</v>
      </c>
      <c r="D746" s="3">
        <v>25</v>
      </c>
      <c r="E746" s="3">
        <v>6.5000000000000002E-2</v>
      </c>
      <c r="F746" s="3">
        <f t="shared" si="149"/>
        <v>3.068385758787318</v>
      </c>
      <c r="G746" s="5">
        <v>0.4</v>
      </c>
      <c r="H746" s="4">
        <v>25000000</v>
      </c>
      <c r="I746" s="4">
        <f t="shared" si="150"/>
        <v>10845070.42</v>
      </c>
      <c r="J746" s="3">
        <v>210000000000</v>
      </c>
      <c r="K746" s="4">
        <f t="shared" si="151"/>
        <v>8.4606656612149139E-2</v>
      </c>
      <c r="L746" s="6">
        <f t="shared" si="152"/>
        <v>2.1151664153037286</v>
      </c>
      <c r="M746" s="4">
        <f t="shared" si="153"/>
        <v>10688188.524833474</v>
      </c>
      <c r="N746" s="4">
        <f t="shared" si="154"/>
        <v>1336023565.6041842</v>
      </c>
      <c r="O746" s="4">
        <f t="shared" si="155"/>
        <v>278338242834.20502</v>
      </c>
      <c r="P746" s="4">
        <f t="shared" si="156"/>
        <v>-16700294570.052303</v>
      </c>
      <c r="Q746" s="4">
        <f t="shared" si="159"/>
        <v>194990712.38715267</v>
      </c>
      <c r="R746" s="4">
        <f t="shared" si="159"/>
        <v>40623065080.656799</v>
      </c>
      <c r="S746" s="4">
        <f t="shared" si="159"/>
        <v>-2437383904.8394051</v>
      </c>
      <c r="T746" s="3"/>
      <c r="U746" s="4">
        <f t="shared" si="157"/>
        <v>30366197.175999999</v>
      </c>
      <c r="V746">
        <f t="shared" si="158"/>
        <v>644361009345.33679</v>
      </c>
    </row>
    <row r="747" spans="1:22" x14ac:dyDescent="0.5">
      <c r="A747" s="3">
        <v>160</v>
      </c>
      <c r="B747" s="3">
        <v>0.36594110099999999</v>
      </c>
      <c r="C747" s="3">
        <v>5</v>
      </c>
      <c r="D747" s="3">
        <v>25</v>
      </c>
      <c r="E747" s="3">
        <v>6.5000000000000002E-2</v>
      </c>
      <c r="F747" s="3">
        <f t="shared" si="149"/>
        <v>3.068385758787318</v>
      </c>
      <c r="G747" s="5">
        <v>0.4</v>
      </c>
      <c r="H747" s="4">
        <v>25000000</v>
      </c>
      <c r="I747" s="4">
        <f t="shared" si="150"/>
        <v>9148527.5250000004</v>
      </c>
      <c r="J747" s="3">
        <v>210000000000</v>
      </c>
      <c r="K747" s="4">
        <f t="shared" si="151"/>
        <v>8.4606656612149139E-2</v>
      </c>
      <c r="L747" s="6">
        <f t="shared" si="152"/>
        <v>2.1151664153037286</v>
      </c>
      <c r="M747" s="4">
        <f t="shared" si="153"/>
        <v>8889271.3502089959</v>
      </c>
      <c r="N747" s="4">
        <f t="shared" si="154"/>
        <v>1111158918.7761245</v>
      </c>
      <c r="O747" s="4">
        <f t="shared" si="155"/>
        <v>231491441411.69263</v>
      </c>
      <c r="P747" s="4">
        <f t="shared" si="156"/>
        <v>-13889486484.701557</v>
      </c>
      <c r="Q747" s="4">
        <f t="shared" si="159"/>
        <v>224864646.82805967</v>
      </c>
      <c r="R747" s="4">
        <f t="shared" si="159"/>
        <v>46846801422.51239</v>
      </c>
      <c r="S747" s="4">
        <f t="shared" si="159"/>
        <v>-2810808085.3507462</v>
      </c>
      <c r="T747" s="3"/>
      <c r="U747" s="4">
        <f t="shared" si="157"/>
        <v>25615877.07</v>
      </c>
      <c r="V747">
        <f t="shared" si="158"/>
        <v>644361009345.33679</v>
      </c>
    </row>
    <row r="748" spans="1:22" x14ac:dyDescent="0.5">
      <c r="A748" s="3">
        <v>160</v>
      </c>
      <c r="B748" s="3">
        <v>0.31280409720000002</v>
      </c>
      <c r="C748" s="3">
        <v>5</v>
      </c>
      <c r="D748" s="3">
        <v>25</v>
      </c>
      <c r="E748" s="3">
        <v>6.5000000000000002E-2</v>
      </c>
      <c r="F748" s="3">
        <f t="shared" si="149"/>
        <v>3.068385758787318</v>
      </c>
      <c r="G748" s="5">
        <v>0.4</v>
      </c>
      <c r="H748" s="4">
        <v>25000000</v>
      </c>
      <c r="I748" s="4">
        <f t="shared" si="150"/>
        <v>7820102.4300000006</v>
      </c>
      <c r="J748" s="3">
        <v>210000000000</v>
      </c>
      <c r="K748" s="4">
        <f t="shared" si="151"/>
        <v>8.4606656612149139E-2</v>
      </c>
      <c r="L748" s="6">
        <f t="shared" si="152"/>
        <v>2.1151664153037286</v>
      </c>
      <c r="M748" s="4">
        <f t="shared" si="153"/>
        <v>7499791.2654024642</v>
      </c>
      <c r="N748" s="4">
        <f t="shared" si="154"/>
        <v>937473908.17530811</v>
      </c>
      <c r="O748" s="4">
        <f t="shared" si="155"/>
        <v>195307064203.18918</v>
      </c>
      <c r="P748" s="4">
        <f t="shared" si="156"/>
        <v>-11718423852.191351</v>
      </c>
      <c r="Q748" s="4">
        <f t="shared" si="159"/>
        <v>173685010.60081637</v>
      </c>
      <c r="R748" s="4">
        <f t="shared" si="159"/>
        <v>36184377208.503448</v>
      </c>
      <c r="S748" s="4">
        <f t="shared" si="159"/>
        <v>-2171062632.5102062</v>
      </c>
      <c r="T748" s="3"/>
      <c r="U748" s="4">
        <f t="shared" si="157"/>
        <v>21896286.804000001</v>
      </c>
      <c r="V748">
        <f t="shared" si="158"/>
        <v>644361009345.33679</v>
      </c>
    </row>
    <row r="749" spans="1:22" x14ac:dyDescent="0.5">
      <c r="A749" s="3">
        <v>160</v>
      </c>
      <c r="B749" s="3">
        <v>0.2608194626</v>
      </c>
      <c r="C749" s="3">
        <v>5</v>
      </c>
      <c r="D749" s="3">
        <v>25</v>
      </c>
      <c r="E749" s="3">
        <v>6.5000000000000002E-2</v>
      </c>
      <c r="F749" s="3">
        <f t="shared" si="149"/>
        <v>3.068385758787318</v>
      </c>
      <c r="G749" s="5">
        <v>0.4</v>
      </c>
      <c r="H749" s="4">
        <v>25000000</v>
      </c>
      <c r="I749" s="4">
        <f t="shared" si="150"/>
        <v>6520486.5649999995</v>
      </c>
      <c r="J749" s="3">
        <v>210000000000</v>
      </c>
      <c r="K749" s="4">
        <f t="shared" si="151"/>
        <v>8.4606656612149139E-2</v>
      </c>
      <c r="L749" s="6">
        <f t="shared" si="152"/>
        <v>2.1151664153037286</v>
      </c>
      <c r="M749" s="4">
        <f t="shared" si="153"/>
        <v>6159408.8961393274</v>
      </c>
      <c r="N749" s="4">
        <f t="shared" si="154"/>
        <v>769926112.01741588</v>
      </c>
      <c r="O749" s="4">
        <f t="shared" si="155"/>
        <v>160401273336.96164</v>
      </c>
      <c r="P749" s="4">
        <f t="shared" si="156"/>
        <v>-9624076400.2176991</v>
      </c>
      <c r="Q749" s="4">
        <f t="shared" si="159"/>
        <v>167547796.15789223</v>
      </c>
      <c r="R749" s="4">
        <f t="shared" si="159"/>
        <v>34905790866.227539</v>
      </c>
      <c r="S749" s="4">
        <f t="shared" si="159"/>
        <v>-2094347451.9736519</v>
      </c>
      <c r="T749" s="3"/>
      <c r="U749" s="4">
        <f t="shared" si="157"/>
        <v>18257362.381999996</v>
      </c>
      <c r="V749">
        <f t="shared" si="158"/>
        <v>644361009345.33679</v>
      </c>
    </row>
    <row r="750" spans="1:22" x14ac:dyDescent="0.5">
      <c r="A750" s="3">
        <v>180</v>
      </c>
      <c r="B750" s="3">
        <v>1</v>
      </c>
      <c r="C750" s="3">
        <v>5</v>
      </c>
      <c r="D750" s="3">
        <v>30</v>
      </c>
      <c r="E750" s="3">
        <v>6.5000000000000002E-2</v>
      </c>
      <c r="F750" s="3">
        <f t="shared" si="149"/>
        <v>3.068385758787318</v>
      </c>
      <c r="G750" s="5">
        <v>0.4</v>
      </c>
      <c r="H750" s="4">
        <v>25000000</v>
      </c>
      <c r="I750" s="4">
        <f>B750*$H$750</f>
        <v>25000000</v>
      </c>
      <c r="J750" s="3">
        <v>210000000000</v>
      </c>
      <c r="K750" s="4">
        <f>(($M$750*C750)/(4*J750*F750))^(1/4)</f>
        <v>8.4606656612149139E-2</v>
      </c>
      <c r="L750" s="6">
        <f t="shared" si="152"/>
        <v>2.5381996983644743</v>
      </c>
      <c r="M750" s="4">
        <f t="shared" si="153"/>
        <v>26414194.650217913</v>
      </c>
      <c r="N750" s="4">
        <f t="shared" si="154"/>
        <v>1560999790.5545976</v>
      </c>
      <c r="O750" s="4">
        <f t="shared" si="155"/>
        <v>109034461303.87756</v>
      </c>
      <c r="P750" s="4">
        <f t="shared" si="156"/>
        <v>-9225041226.4278336</v>
      </c>
      <c r="Q750" s="4">
        <f>N750</f>
        <v>1560999790.5545976</v>
      </c>
      <c r="R750" s="4">
        <f t="shared" ref="R750:S750" si="160">O750</f>
        <v>109034461303.87756</v>
      </c>
      <c r="S750" s="4">
        <f t="shared" si="160"/>
        <v>-9225041226.4278336</v>
      </c>
      <c r="T750" s="3"/>
      <c r="U750" s="4">
        <f t="shared" si="157"/>
        <v>70000000</v>
      </c>
      <c r="V750">
        <f t="shared" si="158"/>
        <v>644361009345.33679</v>
      </c>
    </row>
    <row r="751" spans="1:22" x14ac:dyDescent="0.5">
      <c r="A751" s="3">
        <v>180</v>
      </c>
      <c r="B751" s="3">
        <v>1</v>
      </c>
      <c r="C751" s="3">
        <v>5</v>
      </c>
      <c r="D751" s="3">
        <v>30</v>
      </c>
      <c r="E751" s="3">
        <v>6.5000000000000002E-2</v>
      </c>
      <c r="F751" s="3">
        <f t="shared" si="149"/>
        <v>3.068385758787318</v>
      </c>
      <c r="G751" s="5">
        <v>0.4</v>
      </c>
      <c r="H751" s="4">
        <v>25000000</v>
      </c>
      <c r="I751" s="4">
        <f t="shared" ref="I751:I793" si="161">B751*$H$750</f>
        <v>25000000</v>
      </c>
      <c r="J751" s="3">
        <v>210000000000</v>
      </c>
      <c r="K751" s="4">
        <f t="shared" ref="K751:K793" si="162">(($M$750*C751)/(4*J751*F751))^(1/4)</f>
        <v>8.4606656612149139E-2</v>
      </c>
      <c r="L751" s="6">
        <f t="shared" si="152"/>
        <v>2.5381996983644743</v>
      </c>
      <c r="M751" s="4">
        <f t="shared" si="153"/>
        <v>26414194.650217913</v>
      </c>
      <c r="N751" s="4">
        <f t="shared" si="154"/>
        <v>1560999790.5545976</v>
      </c>
      <c r="O751" s="4">
        <f t="shared" si="155"/>
        <v>109034461303.87756</v>
      </c>
      <c r="P751" s="4">
        <f t="shared" si="156"/>
        <v>-9225041226.4278336</v>
      </c>
      <c r="Q751" s="4">
        <f t="shared" si="159"/>
        <v>0</v>
      </c>
      <c r="R751" s="4">
        <f t="shared" si="159"/>
        <v>0</v>
      </c>
      <c r="S751" s="4">
        <f t="shared" si="159"/>
        <v>0</v>
      </c>
      <c r="T751" s="3"/>
      <c r="U751" s="4">
        <f t="shared" si="157"/>
        <v>70000000</v>
      </c>
      <c r="V751">
        <f t="shared" si="158"/>
        <v>644361009345.33679</v>
      </c>
    </row>
    <row r="752" spans="1:22" x14ac:dyDescent="0.5">
      <c r="A752" s="3">
        <v>180</v>
      </c>
      <c r="B752" s="3">
        <v>1</v>
      </c>
      <c r="C752" s="3">
        <v>5</v>
      </c>
      <c r="D752" s="3">
        <v>30</v>
      </c>
      <c r="E752" s="3">
        <v>6.5000000000000002E-2</v>
      </c>
      <c r="F752" s="3">
        <f t="shared" si="149"/>
        <v>3.068385758787318</v>
      </c>
      <c r="G752" s="5">
        <v>0.4</v>
      </c>
      <c r="H752" s="4">
        <v>25000000</v>
      </c>
      <c r="I752" s="4">
        <f t="shared" si="161"/>
        <v>25000000</v>
      </c>
      <c r="J752" s="3">
        <v>210000000000</v>
      </c>
      <c r="K752" s="4">
        <f t="shared" si="162"/>
        <v>8.4606656612149139E-2</v>
      </c>
      <c r="L752" s="6">
        <f t="shared" si="152"/>
        <v>2.5381996983644743</v>
      </c>
      <c r="M752" s="4">
        <f t="shared" si="153"/>
        <v>26414194.650217913</v>
      </c>
      <c r="N752" s="4">
        <f t="shared" si="154"/>
        <v>1560999790.5545976</v>
      </c>
      <c r="O752" s="4">
        <f t="shared" si="155"/>
        <v>109034461303.87756</v>
      </c>
      <c r="P752" s="4">
        <f t="shared" si="156"/>
        <v>-9225041226.4278336</v>
      </c>
      <c r="Q752" s="4">
        <f t="shared" si="159"/>
        <v>0</v>
      </c>
      <c r="R752" s="4">
        <f t="shared" si="159"/>
        <v>0</v>
      </c>
      <c r="S752" s="4">
        <f t="shared" si="159"/>
        <v>0</v>
      </c>
      <c r="T752" s="3"/>
      <c r="U752" s="4">
        <f t="shared" si="157"/>
        <v>70000000</v>
      </c>
      <c r="V752">
        <f t="shared" si="158"/>
        <v>644361009345.33679</v>
      </c>
    </row>
    <row r="753" spans="1:22" x14ac:dyDescent="0.5">
      <c r="A753" s="3">
        <v>180</v>
      </c>
      <c r="B753" s="3">
        <v>1</v>
      </c>
      <c r="C753" s="3">
        <v>5</v>
      </c>
      <c r="D753" s="3">
        <v>30</v>
      </c>
      <c r="E753" s="3">
        <v>6.5000000000000002E-2</v>
      </c>
      <c r="F753" s="3">
        <f t="shared" si="149"/>
        <v>3.068385758787318</v>
      </c>
      <c r="G753" s="5">
        <v>0.4</v>
      </c>
      <c r="H753" s="4">
        <v>25000000</v>
      </c>
      <c r="I753" s="4">
        <f t="shared" si="161"/>
        <v>25000000</v>
      </c>
      <c r="J753" s="3">
        <v>210000000000</v>
      </c>
      <c r="K753" s="4">
        <f t="shared" si="162"/>
        <v>8.4606656612149139E-2</v>
      </c>
      <c r="L753" s="6">
        <f t="shared" si="152"/>
        <v>2.5381996983644743</v>
      </c>
      <c r="M753" s="4">
        <f t="shared" si="153"/>
        <v>26414194.650217913</v>
      </c>
      <c r="N753" s="4">
        <f t="shared" si="154"/>
        <v>1560999790.5545976</v>
      </c>
      <c r="O753" s="4">
        <f t="shared" si="155"/>
        <v>109034461303.87756</v>
      </c>
      <c r="P753" s="4">
        <f t="shared" si="156"/>
        <v>-9225041226.4278336</v>
      </c>
      <c r="Q753" s="4">
        <f t="shared" si="159"/>
        <v>0</v>
      </c>
      <c r="R753" s="4">
        <f t="shared" si="159"/>
        <v>0</v>
      </c>
      <c r="S753" s="4">
        <f t="shared" si="159"/>
        <v>0</v>
      </c>
      <c r="T753" s="3"/>
      <c r="U753" s="4">
        <f t="shared" si="157"/>
        <v>70000000</v>
      </c>
      <c r="V753">
        <f t="shared" si="158"/>
        <v>644361009345.33679</v>
      </c>
    </row>
    <row r="754" spans="1:22" x14ac:dyDescent="0.5">
      <c r="A754" s="3">
        <v>180</v>
      </c>
      <c r="B754" s="3">
        <v>1</v>
      </c>
      <c r="C754" s="3">
        <v>5</v>
      </c>
      <c r="D754" s="3">
        <v>30</v>
      </c>
      <c r="E754" s="3">
        <v>6.5000000000000002E-2</v>
      </c>
      <c r="F754" s="3">
        <f t="shared" si="149"/>
        <v>3.068385758787318</v>
      </c>
      <c r="G754" s="5">
        <v>0.4</v>
      </c>
      <c r="H754" s="4">
        <v>25000000</v>
      </c>
      <c r="I754" s="4">
        <f t="shared" si="161"/>
        <v>25000000</v>
      </c>
      <c r="J754" s="3">
        <v>210000000000</v>
      </c>
      <c r="K754" s="4">
        <f t="shared" si="162"/>
        <v>8.4606656612149139E-2</v>
      </c>
      <c r="L754" s="6">
        <f t="shared" si="152"/>
        <v>2.5381996983644743</v>
      </c>
      <c r="M754" s="4">
        <f t="shared" si="153"/>
        <v>26414194.650217913</v>
      </c>
      <c r="N754" s="4">
        <f t="shared" si="154"/>
        <v>1560999790.5545976</v>
      </c>
      <c r="O754" s="4">
        <f t="shared" si="155"/>
        <v>109034461303.87756</v>
      </c>
      <c r="P754" s="4">
        <f t="shared" si="156"/>
        <v>-9225041226.4278336</v>
      </c>
      <c r="Q754" s="4">
        <f t="shared" si="159"/>
        <v>0</v>
      </c>
      <c r="R754" s="4">
        <f t="shared" si="159"/>
        <v>0</v>
      </c>
      <c r="S754" s="4">
        <f t="shared" si="159"/>
        <v>0</v>
      </c>
      <c r="T754" s="3"/>
      <c r="U754" s="4">
        <f t="shared" si="157"/>
        <v>70000000</v>
      </c>
      <c r="V754">
        <f t="shared" si="158"/>
        <v>644361009345.33679</v>
      </c>
    </row>
    <row r="755" spans="1:22" x14ac:dyDescent="0.5">
      <c r="A755" s="3">
        <v>180</v>
      </c>
      <c r="B755" s="3">
        <v>1</v>
      </c>
      <c r="C755" s="3">
        <v>5</v>
      </c>
      <c r="D755" s="3">
        <v>30</v>
      </c>
      <c r="E755" s="3">
        <v>6.5000000000000002E-2</v>
      </c>
      <c r="F755" s="3">
        <f t="shared" si="149"/>
        <v>3.068385758787318</v>
      </c>
      <c r="G755" s="5">
        <v>0.4</v>
      </c>
      <c r="H755" s="4">
        <v>25000000</v>
      </c>
      <c r="I755" s="4">
        <f t="shared" si="161"/>
        <v>25000000</v>
      </c>
      <c r="J755" s="3">
        <v>210000000000</v>
      </c>
      <c r="K755" s="4">
        <f t="shared" si="162"/>
        <v>8.4606656612149139E-2</v>
      </c>
      <c r="L755" s="6">
        <f t="shared" si="152"/>
        <v>2.5381996983644743</v>
      </c>
      <c r="M755" s="4">
        <f t="shared" si="153"/>
        <v>26414194.650217913</v>
      </c>
      <c r="N755" s="4">
        <f t="shared" si="154"/>
        <v>1560999790.5545976</v>
      </c>
      <c r="O755" s="4">
        <f t="shared" si="155"/>
        <v>109034461303.87756</v>
      </c>
      <c r="P755" s="4">
        <f t="shared" si="156"/>
        <v>-9225041226.4278336</v>
      </c>
      <c r="Q755" s="4">
        <f t="shared" si="159"/>
        <v>0</v>
      </c>
      <c r="R755" s="4">
        <f t="shared" si="159"/>
        <v>0</v>
      </c>
      <c r="S755" s="4">
        <f t="shared" si="159"/>
        <v>0</v>
      </c>
      <c r="T755" s="3"/>
      <c r="U755" s="4">
        <f t="shared" si="157"/>
        <v>70000000</v>
      </c>
      <c r="V755">
        <f t="shared" si="158"/>
        <v>644361009345.33679</v>
      </c>
    </row>
    <row r="756" spans="1:22" x14ac:dyDescent="0.5">
      <c r="A756" s="3">
        <v>180</v>
      </c>
      <c r="B756" s="3">
        <v>1</v>
      </c>
      <c r="C756" s="3">
        <v>5</v>
      </c>
      <c r="D756" s="3">
        <v>30</v>
      </c>
      <c r="E756" s="3">
        <v>6.5000000000000002E-2</v>
      </c>
      <c r="F756" s="3">
        <f t="shared" si="149"/>
        <v>3.068385758787318</v>
      </c>
      <c r="G756" s="5">
        <v>0.4</v>
      </c>
      <c r="H756" s="4">
        <v>25000000</v>
      </c>
      <c r="I756" s="4">
        <f t="shared" si="161"/>
        <v>25000000</v>
      </c>
      <c r="J756" s="3">
        <v>210000000000</v>
      </c>
      <c r="K756" s="4">
        <f t="shared" si="162"/>
        <v>8.4606656612149139E-2</v>
      </c>
      <c r="L756" s="6">
        <f t="shared" si="152"/>
        <v>2.5381996983644743</v>
      </c>
      <c r="M756" s="4">
        <f t="shared" si="153"/>
        <v>26414194.650217913</v>
      </c>
      <c r="N756" s="4">
        <f t="shared" si="154"/>
        <v>1560999790.5545976</v>
      </c>
      <c r="O756" s="4">
        <f t="shared" si="155"/>
        <v>109034461303.87756</v>
      </c>
      <c r="P756" s="4">
        <f t="shared" si="156"/>
        <v>-9225041226.4278336</v>
      </c>
      <c r="Q756" s="4">
        <f t="shared" si="159"/>
        <v>0</v>
      </c>
      <c r="R756" s="4">
        <f t="shared" si="159"/>
        <v>0</v>
      </c>
      <c r="S756" s="4">
        <f t="shared" si="159"/>
        <v>0</v>
      </c>
      <c r="T756" s="3"/>
      <c r="U756" s="4">
        <f t="shared" si="157"/>
        <v>70000000</v>
      </c>
      <c r="V756">
        <f t="shared" si="158"/>
        <v>644361009345.33679</v>
      </c>
    </row>
    <row r="757" spans="1:22" x14ac:dyDescent="0.5">
      <c r="A757" s="3">
        <v>180</v>
      </c>
      <c r="B757" s="3">
        <v>1</v>
      </c>
      <c r="C757" s="3">
        <v>5</v>
      </c>
      <c r="D757" s="3">
        <v>30</v>
      </c>
      <c r="E757" s="3">
        <v>6.5000000000000002E-2</v>
      </c>
      <c r="F757" s="3">
        <f t="shared" si="149"/>
        <v>3.068385758787318</v>
      </c>
      <c r="G757" s="5">
        <v>0.4</v>
      </c>
      <c r="H757" s="4">
        <v>25000000</v>
      </c>
      <c r="I757" s="4">
        <f t="shared" si="161"/>
        <v>25000000</v>
      </c>
      <c r="J757" s="3">
        <v>210000000000</v>
      </c>
      <c r="K757" s="4">
        <f t="shared" si="162"/>
        <v>8.4606656612149139E-2</v>
      </c>
      <c r="L757" s="6">
        <f t="shared" si="152"/>
        <v>2.5381996983644743</v>
      </c>
      <c r="M757" s="4">
        <f t="shared" si="153"/>
        <v>26414194.650217913</v>
      </c>
      <c r="N757" s="4">
        <f t="shared" si="154"/>
        <v>1560999790.5545976</v>
      </c>
      <c r="O757" s="4">
        <f t="shared" si="155"/>
        <v>109034461303.87756</v>
      </c>
      <c r="P757" s="4">
        <f t="shared" si="156"/>
        <v>-9225041226.4278336</v>
      </c>
      <c r="Q757" s="4">
        <f t="shared" si="159"/>
        <v>0</v>
      </c>
      <c r="R757" s="4">
        <f t="shared" si="159"/>
        <v>0</v>
      </c>
      <c r="S757" s="4">
        <f t="shared" si="159"/>
        <v>0</v>
      </c>
      <c r="T757" s="3"/>
      <c r="U757" s="4">
        <f t="shared" si="157"/>
        <v>70000000</v>
      </c>
      <c r="V757">
        <f t="shared" si="158"/>
        <v>644361009345.33679</v>
      </c>
    </row>
    <row r="758" spans="1:22" x14ac:dyDescent="0.5">
      <c r="A758" s="3">
        <v>180</v>
      </c>
      <c r="B758" s="3">
        <v>1</v>
      </c>
      <c r="C758" s="3">
        <v>5</v>
      </c>
      <c r="D758" s="3">
        <v>30</v>
      </c>
      <c r="E758" s="3">
        <v>6.5000000000000002E-2</v>
      </c>
      <c r="F758" s="3">
        <f t="shared" si="149"/>
        <v>3.068385758787318</v>
      </c>
      <c r="G758" s="5">
        <v>0.4</v>
      </c>
      <c r="H758" s="4">
        <v>25000000</v>
      </c>
      <c r="I758" s="4">
        <f t="shared" si="161"/>
        <v>25000000</v>
      </c>
      <c r="J758" s="3">
        <v>210000000000</v>
      </c>
      <c r="K758" s="4">
        <f t="shared" si="162"/>
        <v>8.4606656612149139E-2</v>
      </c>
      <c r="L758" s="6">
        <f t="shared" si="152"/>
        <v>2.5381996983644743</v>
      </c>
      <c r="M758" s="4">
        <f t="shared" si="153"/>
        <v>26414194.650217913</v>
      </c>
      <c r="N758" s="4">
        <f t="shared" si="154"/>
        <v>1560999790.5545976</v>
      </c>
      <c r="O758" s="4">
        <f t="shared" si="155"/>
        <v>109034461303.87756</v>
      </c>
      <c r="P758" s="4">
        <f t="shared" si="156"/>
        <v>-9225041226.4278336</v>
      </c>
      <c r="Q758" s="4">
        <f t="shared" si="159"/>
        <v>0</v>
      </c>
      <c r="R758" s="4">
        <f t="shared" si="159"/>
        <v>0</v>
      </c>
      <c r="S758" s="4">
        <f t="shared" si="159"/>
        <v>0</v>
      </c>
      <c r="T758" s="3"/>
      <c r="U758" s="4">
        <f t="shared" si="157"/>
        <v>70000000</v>
      </c>
      <c r="V758">
        <f t="shared" si="158"/>
        <v>644361009345.33679</v>
      </c>
    </row>
    <row r="759" spans="1:22" x14ac:dyDescent="0.5">
      <c r="A759" s="3">
        <v>180</v>
      </c>
      <c r="B759" s="3">
        <v>1</v>
      </c>
      <c r="C759" s="3">
        <v>5</v>
      </c>
      <c r="D759" s="3">
        <v>30</v>
      </c>
      <c r="E759" s="3">
        <v>6.5000000000000002E-2</v>
      </c>
      <c r="F759" s="3">
        <f t="shared" si="149"/>
        <v>3.068385758787318</v>
      </c>
      <c r="G759" s="5">
        <v>0.4</v>
      </c>
      <c r="H759" s="4">
        <v>25000000</v>
      </c>
      <c r="I759" s="4">
        <f t="shared" si="161"/>
        <v>25000000</v>
      </c>
      <c r="J759" s="3">
        <v>210000000000</v>
      </c>
      <c r="K759" s="4">
        <f t="shared" si="162"/>
        <v>8.4606656612149139E-2</v>
      </c>
      <c r="L759" s="6">
        <f t="shared" si="152"/>
        <v>2.5381996983644743</v>
      </c>
      <c r="M759" s="4">
        <f t="shared" si="153"/>
        <v>26414194.650217913</v>
      </c>
      <c r="N759" s="4">
        <f t="shared" si="154"/>
        <v>1560999790.5545976</v>
      </c>
      <c r="O759" s="4">
        <f t="shared" si="155"/>
        <v>109034461303.87756</v>
      </c>
      <c r="P759" s="4">
        <f t="shared" si="156"/>
        <v>-9225041226.4278336</v>
      </c>
      <c r="Q759" s="4">
        <f t="shared" si="159"/>
        <v>0</v>
      </c>
      <c r="R759" s="4">
        <f t="shared" si="159"/>
        <v>0</v>
      </c>
      <c r="S759" s="4">
        <f t="shared" si="159"/>
        <v>0</v>
      </c>
      <c r="T759" s="3"/>
      <c r="U759" s="4">
        <f t="shared" si="157"/>
        <v>70000000</v>
      </c>
      <c r="V759">
        <f t="shared" si="158"/>
        <v>644361009345.33679</v>
      </c>
    </row>
    <row r="760" spans="1:22" x14ac:dyDescent="0.5">
      <c r="A760" s="3">
        <v>180</v>
      </c>
      <c r="B760" s="3">
        <v>1</v>
      </c>
      <c r="C760" s="3">
        <v>5</v>
      </c>
      <c r="D760" s="3">
        <v>30</v>
      </c>
      <c r="E760" s="3">
        <v>6.5000000000000002E-2</v>
      </c>
      <c r="F760" s="3">
        <f t="shared" si="149"/>
        <v>3.068385758787318</v>
      </c>
      <c r="G760" s="5">
        <v>0.4</v>
      </c>
      <c r="H760" s="4">
        <v>25000000</v>
      </c>
      <c r="I760" s="4">
        <f t="shared" si="161"/>
        <v>25000000</v>
      </c>
      <c r="J760" s="3">
        <v>210000000000</v>
      </c>
      <c r="K760" s="4">
        <f t="shared" si="162"/>
        <v>8.4606656612149139E-2</v>
      </c>
      <c r="L760" s="6">
        <f t="shared" si="152"/>
        <v>2.5381996983644743</v>
      </c>
      <c r="M760" s="4">
        <f t="shared" si="153"/>
        <v>26414194.650217913</v>
      </c>
      <c r="N760" s="4">
        <f t="shared" si="154"/>
        <v>1560999790.5545976</v>
      </c>
      <c r="O760" s="4">
        <f t="shared" si="155"/>
        <v>109034461303.87756</v>
      </c>
      <c r="P760" s="4">
        <f t="shared" si="156"/>
        <v>-9225041226.4278336</v>
      </c>
      <c r="Q760" s="4">
        <f t="shared" si="159"/>
        <v>0</v>
      </c>
      <c r="R760" s="4">
        <f t="shared" si="159"/>
        <v>0</v>
      </c>
      <c r="S760" s="4">
        <f t="shared" si="159"/>
        <v>0</v>
      </c>
      <c r="T760" s="3"/>
      <c r="U760" s="4">
        <f t="shared" si="157"/>
        <v>70000000</v>
      </c>
      <c r="V760">
        <f t="shared" si="158"/>
        <v>644361009345.33679</v>
      </c>
    </row>
    <row r="761" spans="1:22" x14ac:dyDescent="0.5">
      <c r="A761" s="3">
        <v>180</v>
      </c>
      <c r="B761" s="3">
        <v>1</v>
      </c>
      <c r="C761" s="3">
        <v>5</v>
      </c>
      <c r="D761" s="3">
        <v>30</v>
      </c>
      <c r="E761" s="3">
        <v>6.5000000000000002E-2</v>
      </c>
      <c r="F761" s="3">
        <f t="shared" si="149"/>
        <v>3.068385758787318</v>
      </c>
      <c r="G761" s="5">
        <v>0.4</v>
      </c>
      <c r="H761" s="4">
        <v>25000000</v>
      </c>
      <c r="I761" s="4">
        <f t="shared" si="161"/>
        <v>25000000</v>
      </c>
      <c r="J761" s="3">
        <v>210000000000</v>
      </c>
      <c r="K761" s="4">
        <f t="shared" si="162"/>
        <v>8.4606656612149139E-2</v>
      </c>
      <c r="L761" s="6">
        <f t="shared" si="152"/>
        <v>2.5381996983644743</v>
      </c>
      <c r="M761" s="4">
        <f t="shared" si="153"/>
        <v>26414194.650217913</v>
      </c>
      <c r="N761" s="4">
        <f t="shared" si="154"/>
        <v>1560999790.5545976</v>
      </c>
      <c r="O761" s="4">
        <f t="shared" si="155"/>
        <v>109034461303.87756</v>
      </c>
      <c r="P761" s="4">
        <f t="shared" si="156"/>
        <v>-9225041226.4278336</v>
      </c>
      <c r="Q761" s="4">
        <f t="shared" si="159"/>
        <v>0</v>
      </c>
      <c r="R761" s="4">
        <f t="shared" si="159"/>
        <v>0</v>
      </c>
      <c r="S761" s="4">
        <f t="shared" si="159"/>
        <v>0</v>
      </c>
      <c r="T761" s="3"/>
      <c r="U761" s="4">
        <f t="shared" si="157"/>
        <v>70000000</v>
      </c>
      <c r="V761">
        <f t="shared" si="158"/>
        <v>644361009345.33679</v>
      </c>
    </row>
    <row r="762" spans="1:22" x14ac:dyDescent="0.5">
      <c r="A762" s="3">
        <v>180</v>
      </c>
      <c r="B762" s="3">
        <v>1</v>
      </c>
      <c r="C762" s="3">
        <v>5</v>
      </c>
      <c r="D762" s="3">
        <v>30</v>
      </c>
      <c r="E762" s="3">
        <v>6.5000000000000002E-2</v>
      </c>
      <c r="F762" s="3">
        <f t="shared" si="149"/>
        <v>3.068385758787318</v>
      </c>
      <c r="G762" s="5">
        <v>0.4</v>
      </c>
      <c r="H762" s="4">
        <v>25000000</v>
      </c>
      <c r="I762" s="4">
        <f t="shared" si="161"/>
        <v>25000000</v>
      </c>
      <c r="J762" s="3">
        <v>210000000000</v>
      </c>
      <c r="K762" s="4">
        <f t="shared" si="162"/>
        <v>8.4606656612149139E-2</v>
      </c>
      <c r="L762" s="6">
        <f t="shared" si="152"/>
        <v>2.5381996983644743</v>
      </c>
      <c r="M762" s="4">
        <f t="shared" si="153"/>
        <v>26414194.650217913</v>
      </c>
      <c r="N762" s="4">
        <f t="shared" si="154"/>
        <v>1560999790.5545976</v>
      </c>
      <c r="O762" s="4">
        <f t="shared" si="155"/>
        <v>109034461303.87756</v>
      </c>
      <c r="P762" s="4">
        <f t="shared" si="156"/>
        <v>-9225041226.4278336</v>
      </c>
      <c r="Q762" s="4">
        <f t="shared" si="159"/>
        <v>0</v>
      </c>
      <c r="R762" s="4">
        <f t="shared" si="159"/>
        <v>0</v>
      </c>
      <c r="S762" s="4">
        <f t="shared" si="159"/>
        <v>0</v>
      </c>
      <c r="T762" s="3"/>
      <c r="U762" s="4">
        <f t="shared" si="157"/>
        <v>70000000</v>
      </c>
      <c r="V762">
        <f t="shared" si="158"/>
        <v>644361009345.33679</v>
      </c>
    </row>
    <row r="763" spans="1:22" x14ac:dyDescent="0.5">
      <c r="A763" s="3">
        <v>180</v>
      </c>
      <c r="B763" s="3">
        <v>1</v>
      </c>
      <c r="C763" s="3">
        <v>5</v>
      </c>
      <c r="D763" s="3">
        <v>30</v>
      </c>
      <c r="E763" s="3">
        <v>6.5000000000000002E-2</v>
      </c>
      <c r="F763" s="3">
        <f t="shared" si="149"/>
        <v>3.068385758787318</v>
      </c>
      <c r="G763" s="5">
        <v>0.4</v>
      </c>
      <c r="H763" s="4">
        <v>25000000</v>
      </c>
      <c r="I763" s="4">
        <f t="shared" si="161"/>
        <v>25000000</v>
      </c>
      <c r="J763" s="3">
        <v>210000000000</v>
      </c>
      <c r="K763" s="4">
        <f t="shared" si="162"/>
        <v>8.4606656612149139E-2</v>
      </c>
      <c r="L763" s="6">
        <f t="shared" si="152"/>
        <v>2.5381996983644743</v>
      </c>
      <c r="M763" s="4">
        <f t="shared" si="153"/>
        <v>26414194.650217913</v>
      </c>
      <c r="N763" s="4">
        <f t="shared" si="154"/>
        <v>1560999790.5545976</v>
      </c>
      <c r="O763" s="4">
        <f t="shared" si="155"/>
        <v>109034461303.87756</v>
      </c>
      <c r="P763" s="4">
        <f t="shared" si="156"/>
        <v>-9225041226.4278336</v>
      </c>
      <c r="Q763" s="4">
        <f t="shared" si="159"/>
        <v>0</v>
      </c>
      <c r="R763" s="4">
        <f t="shared" si="159"/>
        <v>0</v>
      </c>
      <c r="S763" s="4">
        <f t="shared" si="159"/>
        <v>0</v>
      </c>
      <c r="T763" s="3"/>
      <c r="U763" s="4">
        <f t="shared" si="157"/>
        <v>70000000</v>
      </c>
      <c r="V763">
        <f t="shared" si="158"/>
        <v>644361009345.33679</v>
      </c>
    </row>
    <row r="764" spans="1:22" x14ac:dyDescent="0.5">
      <c r="A764" s="3">
        <v>180</v>
      </c>
      <c r="B764" s="3">
        <v>1</v>
      </c>
      <c r="C764" s="3">
        <v>5</v>
      </c>
      <c r="D764" s="3">
        <v>30</v>
      </c>
      <c r="E764" s="3">
        <v>6.5000000000000002E-2</v>
      </c>
      <c r="F764" s="3">
        <f t="shared" si="149"/>
        <v>3.068385758787318</v>
      </c>
      <c r="G764" s="5">
        <v>0.4</v>
      </c>
      <c r="H764" s="4">
        <v>25000000</v>
      </c>
      <c r="I764" s="4">
        <f t="shared" si="161"/>
        <v>25000000</v>
      </c>
      <c r="J764" s="3">
        <v>210000000000</v>
      </c>
      <c r="K764" s="4">
        <f t="shared" si="162"/>
        <v>8.4606656612149139E-2</v>
      </c>
      <c r="L764" s="6">
        <f t="shared" si="152"/>
        <v>2.5381996983644743</v>
      </c>
      <c r="M764" s="4">
        <f t="shared" si="153"/>
        <v>26414194.650217913</v>
      </c>
      <c r="N764" s="4">
        <f t="shared" si="154"/>
        <v>1560999790.5545976</v>
      </c>
      <c r="O764" s="4">
        <f t="shared" si="155"/>
        <v>109034461303.87756</v>
      </c>
      <c r="P764" s="4">
        <f t="shared" si="156"/>
        <v>-9225041226.4278336</v>
      </c>
      <c r="Q764" s="4">
        <f t="shared" si="159"/>
        <v>0</v>
      </c>
      <c r="R764" s="4">
        <f t="shared" si="159"/>
        <v>0</v>
      </c>
      <c r="S764" s="4">
        <f t="shared" si="159"/>
        <v>0</v>
      </c>
      <c r="T764" s="3"/>
      <c r="U764" s="4">
        <f t="shared" si="157"/>
        <v>70000000</v>
      </c>
      <c r="V764">
        <f t="shared" si="158"/>
        <v>644361009345.33679</v>
      </c>
    </row>
    <row r="765" spans="1:22" x14ac:dyDescent="0.5">
      <c r="A765" s="3">
        <v>180</v>
      </c>
      <c r="B765" s="3">
        <v>1</v>
      </c>
      <c r="C765" s="3">
        <v>5</v>
      </c>
      <c r="D765" s="3">
        <v>30</v>
      </c>
      <c r="E765" s="3">
        <v>6.5000000000000002E-2</v>
      </c>
      <c r="F765" s="3">
        <f t="shared" si="149"/>
        <v>3.068385758787318</v>
      </c>
      <c r="G765" s="5">
        <v>0.4</v>
      </c>
      <c r="H765" s="4">
        <v>25000000</v>
      </c>
      <c r="I765" s="4">
        <f t="shared" si="161"/>
        <v>25000000</v>
      </c>
      <c r="J765" s="3">
        <v>210000000000</v>
      </c>
      <c r="K765" s="4">
        <f t="shared" si="162"/>
        <v>8.4606656612149139E-2</v>
      </c>
      <c r="L765" s="6">
        <f t="shared" si="152"/>
        <v>2.5381996983644743</v>
      </c>
      <c r="M765" s="4">
        <f t="shared" si="153"/>
        <v>26414194.650217913</v>
      </c>
      <c r="N765" s="4">
        <f t="shared" si="154"/>
        <v>1560999790.5545976</v>
      </c>
      <c r="O765" s="4">
        <f t="shared" si="155"/>
        <v>109034461303.87756</v>
      </c>
      <c r="P765" s="4">
        <f t="shared" si="156"/>
        <v>-9225041226.4278336</v>
      </c>
      <c r="Q765" s="4">
        <f t="shared" si="159"/>
        <v>0</v>
      </c>
      <c r="R765" s="4">
        <f t="shared" si="159"/>
        <v>0</v>
      </c>
      <c r="S765" s="4">
        <f t="shared" si="159"/>
        <v>0</v>
      </c>
      <c r="T765" s="3"/>
      <c r="U765" s="4">
        <f t="shared" si="157"/>
        <v>70000000</v>
      </c>
      <c r="V765">
        <f t="shared" si="158"/>
        <v>644361009345.33679</v>
      </c>
    </row>
    <row r="766" spans="1:22" x14ac:dyDescent="0.5">
      <c r="A766" s="3">
        <v>180</v>
      </c>
      <c r="B766" s="3">
        <v>1</v>
      </c>
      <c r="C766" s="3">
        <v>5</v>
      </c>
      <c r="D766" s="3">
        <v>30</v>
      </c>
      <c r="E766" s="3">
        <v>6.5000000000000002E-2</v>
      </c>
      <c r="F766" s="3">
        <f t="shared" si="149"/>
        <v>3.068385758787318</v>
      </c>
      <c r="G766" s="5">
        <v>0.4</v>
      </c>
      <c r="H766" s="4">
        <v>25000000</v>
      </c>
      <c r="I766" s="4">
        <f t="shared" si="161"/>
        <v>25000000</v>
      </c>
      <c r="J766" s="3">
        <v>210000000000</v>
      </c>
      <c r="K766" s="4">
        <f t="shared" si="162"/>
        <v>8.4606656612149139E-2</v>
      </c>
      <c r="L766" s="6">
        <f t="shared" si="152"/>
        <v>2.5381996983644743</v>
      </c>
      <c r="M766" s="4">
        <f t="shared" si="153"/>
        <v>26414194.650217913</v>
      </c>
      <c r="N766" s="4">
        <f t="shared" si="154"/>
        <v>1560999790.5545976</v>
      </c>
      <c r="O766" s="4">
        <f t="shared" si="155"/>
        <v>109034461303.87756</v>
      </c>
      <c r="P766" s="4">
        <f t="shared" si="156"/>
        <v>-9225041226.4278336</v>
      </c>
      <c r="Q766" s="4">
        <f t="shared" si="159"/>
        <v>0</v>
      </c>
      <c r="R766" s="4">
        <f t="shared" si="159"/>
        <v>0</v>
      </c>
      <c r="S766" s="4">
        <f t="shared" si="159"/>
        <v>0</v>
      </c>
      <c r="T766" s="3"/>
      <c r="U766" s="4">
        <f t="shared" si="157"/>
        <v>70000000</v>
      </c>
      <c r="V766">
        <f t="shared" si="158"/>
        <v>644361009345.33679</v>
      </c>
    </row>
    <row r="767" spans="1:22" x14ac:dyDescent="0.5">
      <c r="A767" s="3">
        <v>180</v>
      </c>
      <c r="B767" s="3">
        <v>1</v>
      </c>
      <c r="C767" s="3">
        <v>5</v>
      </c>
      <c r="D767" s="3">
        <v>30</v>
      </c>
      <c r="E767" s="3">
        <v>6.5000000000000002E-2</v>
      </c>
      <c r="F767" s="3">
        <f t="shared" si="149"/>
        <v>3.068385758787318</v>
      </c>
      <c r="G767" s="5">
        <v>0.4</v>
      </c>
      <c r="H767" s="4">
        <v>25000000</v>
      </c>
      <c r="I767" s="4">
        <f t="shared" si="161"/>
        <v>25000000</v>
      </c>
      <c r="J767" s="3">
        <v>210000000000</v>
      </c>
      <c r="K767" s="4">
        <f t="shared" si="162"/>
        <v>8.4606656612149139E-2</v>
      </c>
      <c r="L767" s="6">
        <f t="shared" si="152"/>
        <v>2.5381996983644743</v>
      </c>
      <c r="M767" s="4">
        <f t="shared" si="153"/>
        <v>26414194.650217913</v>
      </c>
      <c r="N767" s="4">
        <f t="shared" si="154"/>
        <v>1560999790.5545976</v>
      </c>
      <c r="O767" s="4">
        <f t="shared" si="155"/>
        <v>109034461303.87756</v>
      </c>
      <c r="P767" s="4">
        <f t="shared" si="156"/>
        <v>-9225041226.4278336</v>
      </c>
      <c r="Q767" s="4">
        <f t="shared" si="159"/>
        <v>0</v>
      </c>
      <c r="R767" s="4">
        <f t="shared" si="159"/>
        <v>0</v>
      </c>
      <c r="S767" s="4">
        <f t="shared" si="159"/>
        <v>0</v>
      </c>
      <c r="T767" s="3"/>
      <c r="U767" s="4">
        <f t="shared" si="157"/>
        <v>70000000</v>
      </c>
      <c r="V767">
        <f t="shared" si="158"/>
        <v>644361009345.33679</v>
      </c>
    </row>
    <row r="768" spans="1:22" x14ac:dyDescent="0.5">
      <c r="A768" s="3">
        <v>180</v>
      </c>
      <c r="B768" s="3">
        <v>1</v>
      </c>
      <c r="C768" s="3">
        <v>5</v>
      </c>
      <c r="D768" s="3">
        <v>30</v>
      </c>
      <c r="E768" s="3">
        <v>6.5000000000000002E-2</v>
      </c>
      <c r="F768" s="3">
        <f t="shared" si="149"/>
        <v>3.068385758787318</v>
      </c>
      <c r="G768" s="5">
        <v>0.4</v>
      </c>
      <c r="H768" s="4">
        <v>25000000</v>
      </c>
      <c r="I768" s="4">
        <f t="shared" si="161"/>
        <v>25000000</v>
      </c>
      <c r="J768" s="3">
        <v>210000000000</v>
      </c>
      <c r="K768" s="4">
        <f t="shared" si="162"/>
        <v>8.4606656612149139E-2</v>
      </c>
      <c r="L768" s="6">
        <f t="shared" si="152"/>
        <v>2.5381996983644743</v>
      </c>
      <c r="M768" s="4">
        <f t="shared" si="153"/>
        <v>26414194.650217913</v>
      </c>
      <c r="N768" s="4">
        <f t="shared" si="154"/>
        <v>1560999790.5545976</v>
      </c>
      <c r="O768" s="4">
        <f t="shared" si="155"/>
        <v>109034461303.87756</v>
      </c>
      <c r="P768" s="4">
        <f t="shared" si="156"/>
        <v>-9225041226.4278336</v>
      </c>
      <c r="Q768" s="4">
        <f t="shared" si="159"/>
        <v>0</v>
      </c>
      <c r="R768" s="4">
        <f t="shared" si="159"/>
        <v>0</v>
      </c>
      <c r="S768" s="4">
        <f t="shared" si="159"/>
        <v>0</v>
      </c>
      <c r="T768" s="3"/>
      <c r="U768" s="4">
        <f t="shared" si="157"/>
        <v>70000000</v>
      </c>
      <c r="V768">
        <f t="shared" si="158"/>
        <v>644361009345.33679</v>
      </c>
    </row>
    <row r="769" spans="1:22" x14ac:dyDescent="0.5">
      <c r="A769" s="3">
        <v>180</v>
      </c>
      <c r="B769" s="3">
        <v>1</v>
      </c>
      <c r="C769" s="3">
        <v>5</v>
      </c>
      <c r="D769" s="3">
        <v>30</v>
      </c>
      <c r="E769" s="3">
        <v>6.5000000000000002E-2</v>
      </c>
      <c r="F769" s="3">
        <f t="shared" si="149"/>
        <v>3.068385758787318</v>
      </c>
      <c r="G769" s="5">
        <v>0.4</v>
      </c>
      <c r="H769" s="4">
        <v>25000000</v>
      </c>
      <c r="I769" s="4">
        <f t="shared" si="161"/>
        <v>25000000</v>
      </c>
      <c r="J769" s="3">
        <v>210000000000</v>
      </c>
      <c r="K769" s="4">
        <f t="shared" si="162"/>
        <v>8.4606656612149139E-2</v>
      </c>
      <c r="L769" s="6">
        <f t="shared" si="152"/>
        <v>2.5381996983644743</v>
      </c>
      <c r="M769" s="4">
        <f t="shared" si="153"/>
        <v>26414194.650217913</v>
      </c>
      <c r="N769" s="4">
        <f t="shared" si="154"/>
        <v>1560999790.5545976</v>
      </c>
      <c r="O769" s="4">
        <f t="shared" si="155"/>
        <v>109034461303.87756</v>
      </c>
      <c r="P769" s="4">
        <f t="shared" si="156"/>
        <v>-9225041226.4278336</v>
      </c>
      <c r="Q769" s="4">
        <f t="shared" si="159"/>
        <v>0</v>
      </c>
      <c r="R769" s="4">
        <f t="shared" si="159"/>
        <v>0</v>
      </c>
      <c r="S769" s="4">
        <f t="shared" si="159"/>
        <v>0</v>
      </c>
      <c r="T769" s="3"/>
      <c r="U769" s="4">
        <f t="shared" si="157"/>
        <v>70000000</v>
      </c>
      <c r="V769">
        <f t="shared" si="158"/>
        <v>644361009345.33679</v>
      </c>
    </row>
    <row r="770" spans="1:22" x14ac:dyDescent="0.5">
      <c r="A770" s="3">
        <v>180</v>
      </c>
      <c r="B770" s="3">
        <v>0.99577464760000001</v>
      </c>
      <c r="C770" s="3">
        <v>5</v>
      </c>
      <c r="D770" s="3">
        <v>30</v>
      </c>
      <c r="E770" s="3">
        <v>6.5000000000000002E-2</v>
      </c>
      <c r="F770" s="3">
        <f t="shared" si="149"/>
        <v>3.068385758787318</v>
      </c>
      <c r="G770" s="5">
        <v>0.4</v>
      </c>
      <c r="H770" s="4">
        <v>25000000</v>
      </c>
      <c r="I770" s="4">
        <f t="shared" si="161"/>
        <v>24894366.190000001</v>
      </c>
      <c r="J770" s="3">
        <v>210000000000</v>
      </c>
      <c r="K770" s="4">
        <f t="shared" si="162"/>
        <v>8.4606656612149139E-2</v>
      </c>
      <c r="L770" s="6">
        <f t="shared" si="152"/>
        <v>2.5381996983644743</v>
      </c>
      <c r="M770" s="4">
        <f t="shared" si="153"/>
        <v>26293305.910583723</v>
      </c>
      <c r="N770" s="4">
        <f t="shared" si="154"/>
        <v>1553855628.1166251</v>
      </c>
      <c r="O770" s="4">
        <f t="shared" si="155"/>
        <v>108535447846.21721</v>
      </c>
      <c r="P770" s="4">
        <f t="shared" si="156"/>
        <v>-9182821366.1707211</v>
      </c>
      <c r="Q770" s="4">
        <f t="shared" si="159"/>
        <v>7144162.4379725456</v>
      </c>
      <c r="R770" s="4">
        <f t="shared" si="159"/>
        <v>499013457.66035461</v>
      </c>
      <c r="S770" s="4">
        <f t="shared" si="159"/>
        <v>-42219860.257112503</v>
      </c>
      <c r="T770" s="3"/>
      <c r="U770" s="4">
        <f t="shared" si="157"/>
        <v>69704225.332000002</v>
      </c>
      <c r="V770">
        <f t="shared" si="158"/>
        <v>644361009345.33679</v>
      </c>
    </row>
    <row r="771" spans="1:22" x14ac:dyDescent="0.5">
      <c r="A771" s="3">
        <v>180</v>
      </c>
      <c r="B771" s="3">
        <v>0.99257362380000003</v>
      </c>
      <c r="C771" s="3">
        <v>5</v>
      </c>
      <c r="D771" s="3">
        <v>30</v>
      </c>
      <c r="E771" s="3">
        <v>6.5000000000000002E-2</v>
      </c>
      <c r="F771" s="3">
        <f t="shared" ref="F771:F834" si="163">(3.141592*((C771^4)-(C771-(2*E771))^4))/64</f>
        <v>3.068385758787318</v>
      </c>
      <c r="G771" s="5">
        <v>0.4</v>
      </c>
      <c r="H771" s="4">
        <v>25000000</v>
      </c>
      <c r="I771" s="4">
        <f t="shared" si="161"/>
        <v>24814340.594999999</v>
      </c>
      <c r="J771" s="3">
        <v>210000000000</v>
      </c>
      <c r="K771" s="4">
        <f t="shared" si="162"/>
        <v>8.4606656612149139E-2</v>
      </c>
      <c r="L771" s="6">
        <f t="shared" ref="L771:L834" si="164">K771*D771</f>
        <v>2.5381996983644743</v>
      </c>
      <c r="M771" s="4">
        <f t="shared" ref="M771:M834" si="165">(0.65/C771)*(((2*U771*(1+G771)*C771^4)/(J771*F771))^(1/12))*((2*U771*(1+G771))/(1-G771^2))</f>
        <v>26201751.998285774</v>
      </c>
      <c r="N771" s="4">
        <f t="shared" ref="N771:N834" si="166">IF(L771&gt;=2.5,M771*C771/K771,M771*C771*D771)</f>
        <v>1548445066.1133511</v>
      </c>
      <c r="O771" s="4">
        <f t="shared" ref="O771:O834" si="167">IF(L771&gt;=2.5,M771*C771/(2*K771^3),M771*C771*(D771^3)/3)</f>
        <v>108157524852.92288</v>
      </c>
      <c r="P771" s="4">
        <f t="shared" ref="P771:P834" si="168">IF(L771&gt;=2.5,-(M771*C771/(2*K771^2)),-(M771*C771*(D771^2)/2))</f>
        <v>-9150846565.2512341</v>
      </c>
      <c r="Q771" s="4">
        <f t="shared" si="159"/>
        <v>5410562.0032739639</v>
      </c>
      <c r="R771" s="4">
        <f t="shared" si="159"/>
        <v>377922993.29432678</v>
      </c>
      <c r="S771" s="4">
        <f t="shared" si="159"/>
        <v>-31974800.919487</v>
      </c>
      <c r="T771" s="3"/>
      <c r="U771" s="4">
        <f t="shared" ref="U771:U834" si="169">2*I771*(G771+1)</f>
        <v>69480153.665999994</v>
      </c>
      <c r="V771">
        <f t="shared" ref="V771:V834" si="170">J771*F771</f>
        <v>644361009345.33679</v>
      </c>
    </row>
    <row r="772" spans="1:22" x14ac:dyDescent="0.5">
      <c r="A772" s="3">
        <v>180</v>
      </c>
      <c r="B772" s="3">
        <v>0.98758002599999994</v>
      </c>
      <c r="C772" s="3">
        <v>5</v>
      </c>
      <c r="D772" s="3">
        <v>30</v>
      </c>
      <c r="E772" s="3">
        <v>6.5000000000000002E-2</v>
      </c>
      <c r="F772" s="3">
        <f t="shared" si="163"/>
        <v>3.068385758787318</v>
      </c>
      <c r="G772" s="5">
        <v>0.4</v>
      </c>
      <c r="H772" s="4">
        <v>25000000</v>
      </c>
      <c r="I772" s="4">
        <f t="shared" si="161"/>
        <v>24689500.649999999</v>
      </c>
      <c r="J772" s="3">
        <v>210000000000</v>
      </c>
      <c r="K772" s="4">
        <f t="shared" si="162"/>
        <v>8.4606656612149139E-2</v>
      </c>
      <c r="L772" s="6">
        <f t="shared" si="164"/>
        <v>2.5381996983644743</v>
      </c>
      <c r="M772" s="4">
        <f t="shared" si="165"/>
        <v>26058977.027635969</v>
      </c>
      <c r="N772" s="4">
        <f t="shared" si="166"/>
        <v>1540007492.9739048</v>
      </c>
      <c r="O772" s="4">
        <f t="shared" si="167"/>
        <v>107568167796.28629</v>
      </c>
      <c r="P772" s="4">
        <f t="shared" si="168"/>
        <v>-9100983035.1384335</v>
      </c>
      <c r="Q772" s="4">
        <f t="shared" ref="Q772:S835" si="171">N771-N772</f>
        <v>8437573.1394462585</v>
      </c>
      <c r="R772" s="4">
        <f t="shared" si="171"/>
        <v>589357056.63659668</v>
      </c>
      <c r="S772" s="4">
        <f t="shared" si="171"/>
        <v>-49863530.112800598</v>
      </c>
      <c r="T772" s="3"/>
      <c r="U772" s="4">
        <f t="shared" si="169"/>
        <v>69130601.819999993</v>
      </c>
      <c r="V772">
        <f t="shared" si="170"/>
        <v>644361009345.33679</v>
      </c>
    </row>
    <row r="773" spans="1:22" x14ac:dyDescent="0.5">
      <c r="A773" s="3">
        <v>180</v>
      </c>
      <c r="B773" s="3">
        <v>0.98143405920000004</v>
      </c>
      <c r="C773" s="3">
        <v>5</v>
      </c>
      <c r="D773" s="3">
        <v>30</v>
      </c>
      <c r="E773" s="3">
        <v>6.5000000000000002E-2</v>
      </c>
      <c r="F773" s="3">
        <f t="shared" si="163"/>
        <v>3.068385758787318</v>
      </c>
      <c r="G773" s="5">
        <v>0.4</v>
      </c>
      <c r="H773" s="4">
        <v>25000000</v>
      </c>
      <c r="I773" s="4">
        <f t="shared" si="161"/>
        <v>24535851.48</v>
      </c>
      <c r="J773" s="3">
        <v>210000000000</v>
      </c>
      <c r="K773" s="4">
        <f t="shared" si="162"/>
        <v>8.4606656612149139E-2</v>
      </c>
      <c r="L773" s="6">
        <f t="shared" si="164"/>
        <v>2.5381996983644743</v>
      </c>
      <c r="M773" s="4">
        <f t="shared" si="165"/>
        <v>25883336.578712545</v>
      </c>
      <c r="N773" s="4">
        <f t="shared" si="166"/>
        <v>1529627668.5040298</v>
      </c>
      <c r="O773" s="4">
        <f t="shared" si="167"/>
        <v>106843146193.88138</v>
      </c>
      <c r="P773" s="4">
        <f t="shared" si="168"/>
        <v>-9039641381.3873711</v>
      </c>
      <c r="Q773" s="4">
        <f t="shared" si="171"/>
        <v>10379824.469875097</v>
      </c>
      <c r="R773" s="4">
        <f t="shared" si="171"/>
        <v>725021602.40490723</v>
      </c>
      <c r="S773" s="4">
        <f t="shared" si="171"/>
        <v>-61341653.751062393</v>
      </c>
      <c r="T773" s="3"/>
      <c r="U773" s="4">
        <f t="shared" si="169"/>
        <v>68700384.143999994</v>
      </c>
      <c r="V773">
        <f t="shared" si="170"/>
        <v>644361009345.33679</v>
      </c>
    </row>
    <row r="774" spans="1:22" x14ac:dyDescent="0.5">
      <c r="A774" s="3">
        <v>180</v>
      </c>
      <c r="B774" s="3">
        <v>0.97387964139999994</v>
      </c>
      <c r="C774" s="3">
        <v>5</v>
      </c>
      <c r="D774" s="3">
        <v>30</v>
      </c>
      <c r="E774" s="3">
        <v>6.5000000000000002E-2</v>
      </c>
      <c r="F774" s="3">
        <f t="shared" si="163"/>
        <v>3.068385758787318</v>
      </c>
      <c r="G774" s="5">
        <v>0.4</v>
      </c>
      <c r="H774" s="4">
        <v>25000000</v>
      </c>
      <c r="I774" s="4">
        <f t="shared" si="161"/>
        <v>24346991.035</v>
      </c>
      <c r="J774" s="3">
        <v>210000000000</v>
      </c>
      <c r="K774" s="4">
        <f t="shared" si="162"/>
        <v>8.4606656612149139E-2</v>
      </c>
      <c r="L774" s="6">
        <f t="shared" si="164"/>
        <v>2.5381996983644743</v>
      </c>
      <c r="M774" s="4">
        <f t="shared" si="165"/>
        <v>25667570.781840257</v>
      </c>
      <c r="N774" s="4">
        <f t="shared" si="166"/>
        <v>1516876556.1499867</v>
      </c>
      <c r="O774" s="4">
        <f t="shared" si="167"/>
        <v>105952492220.08786</v>
      </c>
      <c r="P774" s="4">
        <f t="shared" si="168"/>
        <v>-8964286126.4663773</v>
      </c>
      <c r="Q774" s="4">
        <f t="shared" si="171"/>
        <v>12751112.354043007</v>
      </c>
      <c r="R774" s="4">
        <f t="shared" si="171"/>
        <v>890653973.79351807</v>
      </c>
      <c r="S774" s="4">
        <f t="shared" si="171"/>
        <v>-75355254.920993805</v>
      </c>
      <c r="T774" s="3"/>
      <c r="U774" s="4">
        <f t="shared" si="169"/>
        <v>68171574.898000002</v>
      </c>
      <c r="V774">
        <f t="shared" si="170"/>
        <v>644361009345.33679</v>
      </c>
    </row>
    <row r="775" spans="1:22" x14ac:dyDescent="0.5">
      <c r="A775" s="3">
        <v>180</v>
      </c>
      <c r="B775" s="3">
        <v>0.96363636360000005</v>
      </c>
      <c r="C775" s="3">
        <v>5</v>
      </c>
      <c r="D775" s="3">
        <v>30</v>
      </c>
      <c r="E775" s="3">
        <v>6.5000000000000002E-2</v>
      </c>
      <c r="F775" s="3">
        <f t="shared" si="163"/>
        <v>3.068385758787318</v>
      </c>
      <c r="G775" s="5">
        <v>0.4</v>
      </c>
      <c r="H775" s="4">
        <v>25000000</v>
      </c>
      <c r="I775" s="4">
        <f t="shared" si="161"/>
        <v>24090909.09</v>
      </c>
      <c r="J775" s="3">
        <v>210000000000</v>
      </c>
      <c r="K775" s="4">
        <f t="shared" si="162"/>
        <v>8.4606656612149139E-2</v>
      </c>
      <c r="L775" s="6">
        <f t="shared" si="164"/>
        <v>2.5381996983644743</v>
      </c>
      <c r="M775" s="4">
        <f t="shared" si="165"/>
        <v>25375229.900511883</v>
      </c>
      <c r="N775" s="4">
        <f t="shared" si="166"/>
        <v>1499600085.6549692</v>
      </c>
      <c r="O775" s="4">
        <f t="shared" si="167"/>
        <v>104745745963.58305</v>
      </c>
      <c r="P775" s="4">
        <f t="shared" si="168"/>
        <v>-8862187360.3242779</v>
      </c>
      <c r="Q775" s="4">
        <f t="shared" si="171"/>
        <v>17276470.495017529</v>
      </c>
      <c r="R775" s="4">
        <f t="shared" si="171"/>
        <v>1206746256.5048065</v>
      </c>
      <c r="S775" s="4">
        <f t="shared" si="171"/>
        <v>-102098766.14209938</v>
      </c>
      <c r="T775" s="3"/>
      <c r="U775" s="4">
        <f t="shared" si="169"/>
        <v>67454545.451999992</v>
      </c>
      <c r="V775">
        <f t="shared" si="170"/>
        <v>644361009345.33679</v>
      </c>
    </row>
    <row r="776" spans="1:22" x14ac:dyDescent="0.5">
      <c r="A776" s="3">
        <v>180</v>
      </c>
      <c r="B776" s="3">
        <v>0.95198463499999997</v>
      </c>
      <c r="C776" s="3">
        <v>5</v>
      </c>
      <c r="D776" s="3">
        <v>30</v>
      </c>
      <c r="E776" s="3">
        <v>6.5000000000000002E-2</v>
      </c>
      <c r="F776" s="3">
        <f t="shared" si="163"/>
        <v>3.068385758787318</v>
      </c>
      <c r="G776" s="5">
        <v>0.4</v>
      </c>
      <c r="H776" s="4">
        <v>25000000</v>
      </c>
      <c r="I776" s="4">
        <f t="shared" si="161"/>
        <v>23799615.875</v>
      </c>
      <c r="J776" s="3">
        <v>210000000000</v>
      </c>
      <c r="K776" s="4">
        <f t="shared" si="162"/>
        <v>8.4606656612149139E-2</v>
      </c>
      <c r="L776" s="6">
        <f t="shared" si="164"/>
        <v>2.5381996983644743</v>
      </c>
      <c r="M776" s="4">
        <f t="shared" si="165"/>
        <v>25043006.972211458</v>
      </c>
      <c r="N776" s="4">
        <f t="shared" si="166"/>
        <v>1479966705.6348019</v>
      </c>
      <c r="O776" s="4">
        <f t="shared" si="167"/>
        <v>103374371651.41052</v>
      </c>
      <c r="P776" s="4">
        <f t="shared" si="168"/>
        <v>-8746159964.8075752</v>
      </c>
      <c r="Q776" s="4">
        <f t="shared" si="171"/>
        <v>19633380.020167351</v>
      </c>
      <c r="R776" s="4">
        <f t="shared" si="171"/>
        <v>1371374312.1725311</v>
      </c>
      <c r="S776" s="4">
        <f t="shared" si="171"/>
        <v>-116027395.51670265</v>
      </c>
      <c r="T776" s="3"/>
      <c r="U776" s="4">
        <f t="shared" si="169"/>
        <v>66638924.449999996</v>
      </c>
      <c r="V776">
        <f t="shared" si="170"/>
        <v>644361009345.33679</v>
      </c>
    </row>
    <row r="777" spans="1:22" x14ac:dyDescent="0.5">
      <c r="A777" s="3">
        <v>180</v>
      </c>
      <c r="B777" s="3">
        <v>0.93956466039999997</v>
      </c>
      <c r="C777" s="3">
        <v>5</v>
      </c>
      <c r="D777" s="3">
        <v>30</v>
      </c>
      <c r="E777" s="3">
        <v>6.5000000000000002E-2</v>
      </c>
      <c r="F777" s="3">
        <f t="shared" si="163"/>
        <v>3.068385758787318</v>
      </c>
      <c r="G777" s="5">
        <v>0.4</v>
      </c>
      <c r="H777" s="4">
        <v>25000000</v>
      </c>
      <c r="I777" s="4">
        <f t="shared" si="161"/>
        <v>23489116.509999998</v>
      </c>
      <c r="J777" s="3">
        <v>210000000000</v>
      </c>
      <c r="K777" s="4">
        <f t="shared" si="162"/>
        <v>8.4606656612149139E-2</v>
      </c>
      <c r="L777" s="6">
        <f t="shared" si="164"/>
        <v>2.5381996983644743</v>
      </c>
      <c r="M777" s="4">
        <f t="shared" si="165"/>
        <v>24689252.242478881</v>
      </c>
      <c r="N777" s="4">
        <f t="shared" si="166"/>
        <v>1459060860.6399899</v>
      </c>
      <c r="O777" s="4">
        <f t="shared" si="167"/>
        <v>101914116780.84334</v>
      </c>
      <c r="P777" s="4">
        <f t="shared" si="168"/>
        <v>-8622612682.4072781</v>
      </c>
      <c r="Q777" s="4">
        <f t="shared" si="171"/>
        <v>20905844.994812012</v>
      </c>
      <c r="R777" s="4">
        <f t="shared" si="171"/>
        <v>1460254870.5671844</v>
      </c>
      <c r="S777" s="4">
        <f t="shared" si="171"/>
        <v>-123547282.40029716</v>
      </c>
      <c r="T777" s="3"/>
      <c r="U777" s="4">
        <f t="shared" si="169"/>
        <v>65769526.227999993</v>
      </c>
      <c r="V777">
        <f t="shared" si="170"/>
        <v>644361009345.33679</v>
      </c>
    </row>
    <row r="778" spans="1:22" x14ac:dyDescent="0.5">
      <c r="A778" s="3">
        <v>180</v>
      </c>
      <c r="B778" s="3">
        <v>0.92407170260000004</v>
      </c>
      <c r="C778" s="3">
        <v>5</v>
      </c>
      <c r="D778" s="3">
        <v>30</v>
      </c>
      <c r="E778" s="3">
        <v>6.5000000000000002E-2</v>
      </c>
      <c r="F778" s="3">
        <f t="shared" si="163"/>
        <v>3.068385758787318</v>
      </c>
      <c r="G778" s="5">
        <v>0.4</v>
      </c>
      <c r="H778" s="4">
        <v>25000000</v>
      </c>
      <c r="I778" s="4">
        <f t="shared" si="161"/>
        <v>23101792.565000001</v>
      </c>
      <c r="J778" s="3">
        <v>210000000000</v>
      </c>
      <c r="K778" s="4">
        <f t="shared" si="162"/>
        <v>8.4606656612149139E-2</v>
      </c>
      <c r="L778" s="6">
        <f t="shared" si="164"/>
        <v>2.5381996983644743</v>
      </c>
      <c r="M778" s="4">
        <f t="shared" si="165"/>
        <v>24248517.079549547</v>
      </c>
      <c r="N778" s="4">
        <f t="shared" si="166"/>
        <v>1433014732.5587363</v>
      </c>
      <c r="O778" s="4">
        <f t="shared" si="167"/>
        <v>100094817661.41022</v>
      </c>
      <c r="P778" s="4">
        <f t="shared" si="168"/>
        <v>-8468687866.5346155</v>
      </c>
      <c r="Q778" s="4">
        <f t="shared" si="171"/>
        <v>26046128.081253529</v>
      </c>
      <c r="R778" s="4">
        <f t="shared" si="171"/>
        <v>1819299119.4331207</v>
      </c>
      <c r="S778" s="4">
        <f t="shared" si="171"/>
        <v>-153924815.87266254</v>
      </c>
      <c r="T778" s="3"/>
      <c r="U778" s="4">
        <f t="shared" si="169"/>
        <v>64685019.181999996</v>
      </c>
      <c r="V778">
        <f t="shared" si="170"/>
        <v>644361009345.33679</v>
      </c>
    </row>
    <row r="779" spans="1:22" x14ac:dyDescent="0.5">
      <c r="A779" s="3">
        <v>180</v>
      </c>
      <c r="B779" s="3">
        <v>0.90563380280000005</v>
      </c>
      <c r="C779" s="3">
        <v>5</v>
      </c>
      <c r="D779" s="3">
        <v>30</v>
      </c>
      <c r="E779" s="3">
        <v>6.5000000000000002E-2</v>
      </c>
      <c r="F779" s="3">
        <f t="shared" si="163"/>
        <v>3.068385758787318</v>
      </c>
      <c r="G779" s="5">
        <v>0.4</v>
      </c>
      <c r="H779" s="4">
        <v>25000000</v>
      </c>
      <c r="I779" s="4">
        <f t="shared" si="161"/>
        <v>22640845.07</v>
      </c>
      <c r="J779" s="3">
        <v>210000000000</v>
      </c>
      <c r="K779" s="4">
        <f t="shared" si="162"/>
        <v>8.4606656612149139E-2</v>
      </c>
      <c r="L779" s="6">
        <f t="shared" si="164"/>
        <v>2.5381996983644743</v>
      </c>
      <c r="M779" s="4">
        <f t="shared" si="165"/>
        <v>23724808.563836701</v>
      </c>
      <c r="N779" s="4">
        <f t="shared" si="166"/>
        <v>1402065127.8418396</v>
      </c>
      <c r="O779" s="4">
        <f t="shared" si="167"/>
        <v>97933015015.251083</v>
      </c>
      <c r="P779" s="4">
        <f t="shared" si="168"/>
        <v>-8285784972.3877935</v>
      </c>
      <c r="Q779" s="4">
        <f t="shared" si="171"/>
        <v>30949604.716896772</v>
      </c>
      <c r="R779" s="4">
        <f t="shared" si="171"/>
        <v>2161802646.1591339</v>
      </c>
      <c r="S779" s="4">
        <f t="shared" si="171"/>
        <v>-182902894.14682198</v>
      </c>
      <c r="T779" s="3"/>
      <c r="U779" s="4">
        <f t="shared" si="169"/>
        <v>63394366.195999995</v>
      </c>
      <c r="V779">
        <f t="shared" si="170"/>
        <v>644361009345.33679</v>
      </c>
    </row>
    <row r="780" spans="1:22" x14ac:dyDescent="0.5">
      <c r="A780" s="3">
        <v>180</v>
      </c>
      <c r="B780" s="3">
        <v>0.88450704219999998</v>
      </c>
      <c r="C780" s="3">
        <v>5</v>
      </c>
      <c r="D780" s="3">
        <v>30</v>
      </c>
      <c r="E780" s="3">
        <v>6.5000000000000002E-2</v>
      </c>
      <c r="F780" s="3">
        <f t="shared" si="163"/>
        <v>3.068385758787318</v>
      </c>
      <c r="G780" s="5">
        <v>0.4</v>
      </c>
      <c r="H780" s="4">
        <v>25000000</v>
      </c>
      <c r="I780" s="4">
        <f t="shared" si="161"/>
        <v>22112676.055</v>
      </c>
      <c r="J780" s="3">
        <v>210000000000</v>
      </c>
      <c r="K780" s="4">
        <f t="shared" si="162"/>
        <v>8.4606656612149139E-2</v>
      </c>
      <c r="L780" s="6">
        <f t="shared" si="164"/>
        <v>2.5381996983644743</v>
      </c>
      <c r="M780" s="4">
        <f t="shared" si="165"/>
        <v>23125818.357487332</v>
      </c>
      <c r="N780" s="4">
        <f t="shared" si="166"/>
        <v>1366666600.684855</v>
      </c>
      <c r="O780" s="4">
        <f t="shared" si="167"/>
        <v>95460459052.805222</v>
      </c>
      <c r="P780" s="4">
        <f t="shared" si="168"/>
        <v>-8076590279.1188154</v>
      </c>
      <c r="Q780" s="4">
        <f t="shared" si="171"/>
        <v>35398527.156984568</v>
      </c>
      <c r="R780" s="4">
        <f t="shared" si="171"/>
        <v>2472555962.4458618</v>
      </c>
      <c r="S780" s="4">
        <f t="shared" si="171"/>
        <v>-209194693.26897812</v>
      </c>
      <c r="T780" s="3"/>
      <c r="U780" s="4">
        <f t="shared" si="169"/>
        <v>61915492.953999996</v>
      </c>
      <c r="V780">
        <f t="shared" si="170"/>
        <v>644361009345.33679</v>
      </c>
    </row>
    <row r="781" spans="1:22" x14ac:dyDescent="0.5">
      <c r="A781" s="3">
        <v>180</v>
      </c>
      <c r="B781" s="3">
        <v>0.86017925759999991</v>
      </c>
      <c r="C781" s="3">
        <v>5</v>
      </c>
      <c r="D781" s="3">
        <v>30</v>
      </c>
      <c r="E781" s="3">
        <v>6.5000000000000002E-2</v>
      </c>
      <c r="F781" s="3">
        <f t="shared" si="163"/>
        <v>3.068385758787318</v>
      </c>
      <c r="G781" s="5">
        <v>0.4</v>
      </c>
      <c r="H781" s="4">
        <v>25000000</v>
      </c>
      <c r="I781" s="4">
        <f t="shared" si="161"/>
        <v>21504481.439999998</v>
      </c>
      <c r="J781" s="3">
        <v>210000000000</v>
      </c>
      <c r="K781" s="4">
        <f t="shared" si="162"/>
        <v>8.4606656612149139E-2</v>
      </c>
      <c r="L781" s="6">
        <f t="shared" si="164"/>
        <v>2.5381996983644743</v>
      </c>
      <c r="M781" s="4">
        <f t="shared" si="165"/>
        <v>22437549.298271663</v>
      </c>
      <c r="N781" s="4">
        <f t="shared" si="166"/>
        <v>1325991960.7229657</v>
      </c>
      <c r="O781" s="4">
        <f t="shared" si="167"/>
        <v>92619371255.222565</v>
      </c>
      <c r="P781" s="4">
        <f t="shared" si="168"/>
        <v>-7836215339.4237728</v>
      </c>
      <c r="Q781" s="4">
        <f t="shared" si="171"/>
        <v>40674639.961889267</v>
      </c>
      <c r="R781" s="4">
        <f t="shared" si="171"/>
        <v>2841087797.5826569</v>
      </c>
      <c r="S781" s="4">
        <f t="shared" si="171"/>
        <v>-240374939.69504261</v>
      </c>
      <c r="T781" s="3"/>
      <c r="U781" s="4">
        <f t="shared" si="169"/>
        <v>60212548.03199999</v>
      </c>
      <c r="V781">
        <f t="shared" si="170"/>
        <v>644361009345.33679</v>
      </c>
    </row>
    <row r="782" spans="1:22" x14ac:dyDescent="0.5">
      <c r="A782" s="3">
        <v>180</v>
      </c>
      <c r="B782" s="3">
        <v>0.83329065319999995</v>
      </c>
      <c r="C782" s="3">
        <v>5</v>
      </c>
      <c r="D782" s="3">
        <v>30</v>
      </c>
      <c r="E782" s="3">
        <v>6.5000000000000002E-2</v>
      </c>
      <c r="F782" s="3">
        <f t="shared" si="163"/>
        <v>3.068385758787318</v>
      </c>
      <c r="G782" s="5">
        <v>0.4</v>
      </c>
      <c r="H782" s="4">
        <v>25000000</v>
      </c>
      <c r="I782" s="4">
        <f t="shared" si="161"/>
        <v>20832266.329999998</v>
      </c>
      <c r="J782" s="3">
        <v>210000000000</v>
      </c>
      <c r="K782" s="4">
        <f t="shared" si="162"/>
        <v>8.4606656612149139E-2</v>
      </c>
      <c r="L782" s="6">
        <f t="shared" si="164"/>
        <v>2.5381996983644743</v>
      </c>
      <c r="M782" s="4">
        <f t="shared" si="165"/>
        <v>21678717.877836481</v>
      </c>
      <c r="N782" s="4">
        <f t="shared" si="166"/>
        <v>1281147296.5546491</v>
      </c>
      <c r="O782" s="4">
        <f t="shared" si="167"/>
        <v>89487010937.474869</v>
      </c>
      <c r="P782" s="4">
        <f t="shared" si="168"/>
        <v>-7571196805.6345701</v>
      </c>
      <c r="Q782" s="4">
        <f t="shared" si="171"/>
        <v>44844664.168316603</v>
      </c>
      <c r="R782" s="4">
        <f t="shared" si="171"/>
        <v>3132360317.7476959</v>
      </c>
      <c r="S782" s="4">
        <f t="shared" si="171"/>
        <v>-265018533.78920269</v>
      </c>
      <c r="T782" s="3"/>
      <c r="U782" s="4">
        <f t="shared" si="169"/>
        <v>58330345.723999992</v>
      </c>
      <c r="V782">
        <f t="shared" si="170"/>
        <v>644361009345.33679</v>
      </c>
    </row>
    <row r="783" spans="1:22" x14ac:dyDescent="0.5">
      <c r="A783" s="3">
        <v>180</v>
      </c>
      <c r="B783" s="3">
        <v>0.80012804059999998</v>
      </c>
      <c r="C783" s="3">
        <v>5</v>
      </c>
      <c r="D783" s="3">
        <v>30</v>
      </c>
      <c r="E783" s="3">
        <v>6.5000000000000002E-2</v>
      </c>
      <c r="F783" s="3">
        <f t="shared" si="163"/>
        <v>3.068385758787318</v>
      </c>
      <c r="G783" s="5">
        <v>0.4</v>
      </c>
      <c r="H783" s="4">
        <v>25000000</v>
      </c>
      <c r="I783" s="4">
        <f t="shared" si="161"/>
        <v>20003201.015000001</v>
      </c>
      <c r="J783" s="3">
        <v>210000000000</v>
      </c>
      <c r="K783" s="4">
        <f t="shared" si="162"/>
        <v>8.4606656612149139E-2</v>
      </c>
      <c r="L783" s="6">
        <f t="shared" si="164"/>
        <v>2.5381996983644743</v>
      </c>
      <c r="M783" s="4">
        <f t="shared" si="165"/>
        <v>20745639.271121435</v>
      </c>
      <c r="N783" s="4">
        <f t="shared" si="166"/>
        <v>1226005145.5657246</v>
      </c>
      <c r="O783" s="4">
        <f t="shared" si="167"/>
        <v>85635380229.646027</v>
      </c>
      <c r="P783" s="4">
        <f t="shared" si="168"/>
        <v>-7245323208.9404869</v>
      </c>
      <c r="Q783" s="4">
        <f t="shared" si="171"/>
        <v>55142150.988924503</v>
      </c>
      <c r="R783" s="4">
        <f t="shared" si="171"/>
        <v>3851630707.8288422</v>
      </c>
      <c r="S783" s="4">
        <f t="shared" si="171"/>
        <v>-325873596.69408321</v>
      </c>
      <c r="T783" s="3"/>
      <c r="U783" s="4">
        <f t="shared" si="169"/>
        <v>56008962.842</v>
      </c>
      <c r="V783">
        <f t="shared" si="170"/>
        <v>644361009345.33679</v>
      </c>
    </row>
    <row r="784" spans="1:22" x14ac:dyDescent="0.5">
      <c r="A784" s="3">
        <v>180</v>
      </c>
      <c r="B784" s="3">
        <v>0.76376440499999998</v>
      </c>
      <c r="C784" s="3">
        <v>5</v>
      </c>
      <c r="D784" s="3">
        <v>30</v>
      </c>
      <c r="E784" s="3">
        <v>6.5000000000000002E-2</v>
      </c>
      <c r="F784" s="3">
        <f t="shared" si="163"/>
        <v>3.068385758787318</v>
      </c>
      <c r="G784" s="5">
        <v>0.4</v>
      </c>
      <c r="H784" s="4">
        <v>25000000</v>
      </c>
      <c r="I784" s="4">
        <f t="shared" si="161"/>
        <v>19094110.125</v>
      </c>
      <c r="J784" s="3">
        <v>210000000000</v>
      </c>
      <c r="K784" s="4">
        <f t="shared" si="162"/>
        <v>8.4606656612149139E-2</v>
      </c>
      <c r="L784" s="6">
        <f t="shared" si="164"/>
        <v>2.5381996983644743</v>
      </c>
      <c r="M784" s="4">
        <f t="shared" si="165"/>
        <v>19726198.822567269</v>
      </c>
      <c r="N784" s="4">
        <f t="shared" si="166"/>
        <v>1165759268.3868492</v>
      </c>
      <c r="O784" s="4">
        <f t="shared" si="167"/>
        <v>81427258739.991974</v>
      </c>
      <c r="P784" s="4">
        <f t="shared" si="168"/>
        <v>-6889288119.0831213</v>
      </c>
      <c r="Q784" s="4">
        <f t="shared" si="171"/>
        <v>60245877.178875446</v>
      </c>
      <c r="R784" s="4">
        <f t="shared" si="171"/>
        <v>4208121489.6540527</v>
      </c>
      <c r="S784" s="4">
        <f t="shared" si="171"/>
        <v>-356035089.85736561</v>
      </c>
      <c r="T784" s="3"/>
      <c r="U784" s="4">
        <f t="shared" si="169"/>
        <v>53463508.349999994</v>
      </c>
      <c r="V784">
        <f t="shared" si="170"/>
        <v>644361009345.33679</v>
      </c>
    </row>
    <row r="785" spans="1:22" x14ac:dyDescent="0.5">
      <c r="A785" s="3">
        <v>180</v>
      </c>
      <c r="B785" s="3">
        <v>0.72227912920000004</v>
      </c>
      <c r="C785" s="3">
        <v>5</v>
      </c>
      <c r="D785" s="3">
        <v>30</v>
      </c>
      <c r="E785" s="3">
        <v>6.5000000000000002E-2</v>
      </c>
      <c r="F785" s="3">
        <f t="shared" si="163"/>
        <v>3.068385758787318</v>
      </c>
      <c r="G785" s="5">
        <v>0.4</v>
      </c>
      <c r="H785" s="4">
        <v>25000000</v>
      </c>
      <c r="I785" s="4">
        <f t="shared" si="161"/>
        <v>18056978.23</v>
      </c>
      <c r="J785" s="3">
        <v>210000000000</v>
      </c>
      <c r="K785" s="4">
        <f t="shared" si="162"/>
        <v>8.4606656612149139E-2</v>
      </c>
      <c r="L785" s="6">
        <f t="shared" si="164"/>
        <v>2.5381996983644743</v>
      </c>
      <c r="M785" s="4">
        <f t="shared" si="165"/>
        <v>18568116.906880744</v>
      </c>
      <c r="N785" s="4">
        <f t="shared" si="166"/>
        <v>1097320095.7461333</v>
      </c>
      <c r="O785" s="4">
        <f t="shared" si="167"/>
        <v>76646842774.457275</v>
      </c>
      <c r="P785" s="4">
        <f t="shared" si="168"/>
        <v>-6484833107.0238914</v>
      </c>
      <c r="Q785" s="4">
        <f t="shared" si="171"/>
        <v>68439172.640715837</v>
      </c>
      <c r="R785" s="4">
        <f t="shared" si="171"/>
        <v>4780415965.5346985</v>
      </c>
      <c r="S785" s="4">
        <f t="shared" si="171"/>
        <v>-404455012.05922985</v>
      </c>
      <c r="T785" s="3"/>
      <c r="U785" s="4">
        <f t="shared" si="169"/>
        <v>50559539.044</v>
      </c>
      <c r="V785">
        <f t="shared" si="170"/>
        <v>644361009345.33679</v>
      </c>
    </row>
    <row r="786" spans="1:22" x14ac:dyDescent="0.5">
      <c r="A786" s="3">
        <v>180</v>
      </c>
      <c r="B786" s="3">
        <v>0.67797695300000005</v>
      </c>
      <c r="C786" s="3">
        <v>5</v>
      </c>
      <c r="D786" s="3">
        <v>30</v>
      </c>
      <c r="E786" s="3">
        <v>6.5000000000000002E-2</v>
      </c>
      <c r="F786" s="3">
        <f t="shared" si="163"/>
        <v>3.068385758787318</v>
      </c>
      <c r="G786" s="5">
        <v>0.4</v>
      </c>
      <c r="H786" s="4">
        <v>25000000</v>
      </c>
      <c r="I786" s="4">
        <f t="shared" si="161"/>
        <v>16949423.825000003</v>
      </c>
      <c r="J786" s="3">
        <v>210000000000</v>
      </c>
      <c r="K786" s="4">
        <f t="shared" si="162"/>
        <v>8.4606656612149139E-2</v>
      </c>
      <c r="L786" s="6">
        <f t="shared" si="164"/>
        <v>2.5381996983644743</v>
      </c>
      <c r="M786" s="4">
        <f t="shared" si="165"/>
        <v>17337516.295430876</v>
      </c>
      <c r="N786" s="4">
        <f t="shared" si="166"/>
        <v>1024595285.3868761</v>
      </c>
      <c r="O786" s="4">
        <f t="shared" si="167"/>
        <v>71567078786.704895</v>
      </c>
      <c r="P786" s="4">
        <f t="shared" si="168"/>
        <v>-6055051259.6413641</v>
      </c>
      <c r="Q786" s="4">
        <f t="shared" si="171"/>
        <v>72724810.359257221</v>
      </c>
      <c r="R786" s="4">
        <f t="shared" si="171"/>
        <v>5079763987.7523804</v>
      </c>
      <c r="S786" s="4">
        <f t="shared" si="171"/>
        <v>-429781847.38252735</v>
      </c>
      <c r="T786" s="3"/>
      <c r="U786" s="4">
        <f t="shared" si="169"/>
        <v>47458386.710000008</v>
      </c>
      <c r="V786">
        <f t="shared" si="170"/>
        <v>644361009345.33679</v>
      </c>
    </row>
    <row r="787" spans="1:22" x14ac:dyDescent="0.5">
      <c r="A787" s="3">
        <v>180</v>
      </c>
      <c r="B787" s="3">
        <v>0.63047375120000004</v>
      </c>
      <c r="C787" s="3">
        <v>5</v>
      </c>
      <c r="D787" s="3">
        <v>30</v>
      </c>
      <c r="E787" s="3">
        <v>6.5000000000000002E-2</v>
      </c>
      <c r="F787" s="3">
        <f t="shared" si="163"/>
        <v>3.068385758787318</v>
      </c>
      <c r="G787" s="5">
        <v>0.4</v>
      </c>
      <c r="H787" s="4">
        <v>25000000</v>
      </c>
      <c r="I787" s="4">
        <f t="shared" si="161"/>
        <v>15761843.780000001</v>
      </c>
      <c r="J787" s="3">
        <v>210000000000</v>
      </c>
      <c r="K787" s="4">
        <f t="shared" si="162"/>
        <v>8.4606656612149139E-2</v>
      </c>
      <c r="L787" s="6">
        <f t="shared" si="164"/>
        <v>2.5381996983644743</v>
      </c>
      <c r="M787" s="4">
        <f t="shared" si="165"/>
        <v>16025440.209843848</v>
      </c>
      <c r="N787" s="4">
        <f t="shared" si="166"/>
        <v>947055518.53367209</v>
      </c>
      <c r="O787" s="4">
        <f t="shared" si="167"/>
        <v>66150994326.204346</v>
      </c>
      <c r="P787" s="4">
        <f t="shared" si="168"/>
        <v>-5596814461.5093975</v>
      </c>
      <c r="Q787" s="4">
        <f t="shared" si="171"/>
        <v>77539766.853204012</v>
      </c>
      <c r="R787" s="4">
        <f t="shared" si="171"/>
        <v>5416084460.5005493</v>
      </c>
      <c r="S787" s="4">
        <f t="shared" si="171"/>
        <v>-458236798.13196659</v>
      </c>
      <c r="T787" s="3"/>
      <c r="U787" s="4">
        <f t="shared" si="169"/>
        <v>44133162.583999999</v>
      </c>
      <c r="V787">
        <f t="shared" si="170"/>
        <v>644361009345.33679</v>
      </c>
    </row>
    <row r="788" spans="1:22" x14ac:dyDescent="0.5">
      <c r="A788" s="3">
        <v>180</v>
      </c>
      <c r="B788" s="3">
        <v>0.57669654299999995</v>
      </c>
      <c r="C788" s="3">
        <v>5</v>
      </c>
      <c r="D788" s="3">
        <v>30</v>
      </c>
      <c r="E788" s="3">
        <v>6.5000000000000002E-2</v>
      </c>
      <c r="F788" s="3">
        <f t="shared" si="163"/>
        <v>3.068385758787318</v>
      </c>
      <c r="G788" s="5">
        <v>0.4</v>
      </c>
      <c r="H788" s="4">
        <v>25000000</v>
      </c>
      <c r="I788" s="4">
        <f t="shared" si="161"/>
        <v>14417413.574999999</v>
      </c>
      <c r="J788" s="3">
        <v>210000000000</v>
      </c>
      <c r="K788" s="4">
        <f t="shared" si="162"/>
        <v>8.4606656612149139E-2</v>
      </c>
      <c r="L788" s="6">
        <f t="shared" si="164"/>
        <v>2.5381996983644743</v>
      </c>
      <c r="M788" s="4">
        <f t="shared" si="165"/>
        <v>14550022.590603748</v>
      </c>
      <c r="N788" s="4">
        <f t="shared" si="166"/>
        <v>859862756.26653409</v>
      </c>
      <c r="O788" s="4">
        <f t="shared" si="167"/>
        <v>60060656633.066826</v>
      </c>
      <c r="P788" s="4">
        <f t="shared" si="168"/>
        <v>-5081531351.6540823</v>
      </c>
      <c r="Q788" s="4">
        <f t="shared" si="171"/>
        <v>87192762.267138004</v>
      </c>
      <c r="R788" s="4">
        <f t="shared" si="171"/>
        <v>6090337693.1375198</v>
      </c>
      <c r="S788" s="4">
        <f t="shared" si="171"/>
        <v>-515283109.85531521</v>
      </c>
      <c r="T788" s="3"/>
      <c r="U788" s="4">
        <f t="shared" si="169"/>
        <v>40368758.009999998</v>
      </c>
      <c r="V788">
        <f t="shared" si="170"/>
        <v>644361009345.33679</v>
      </c>
    </row>
    <row r="789" spans="1:22" x14ac:dyDescent="0.5">
      <c r="A789" s="3">
        <v>180</v>
      </c>
      <c r="B789" s="3">
        <v>0.51357234339999991</v>
      </c>
      <c r="C789" s="3">
        <v>5</v>
      </c>
      <c r="D789" s="3">
        <v>30</v>
      </c>
      <c r="E789" s="3">
        <v>6.5000000000000002E-2</v>
      </c>
      <c r="F789" s="3">
        <f t="shared" si="163"/>
        <v>3.068385758787318</v>
      </c>
      <c r="G789" s="5">
        <v>0.4</v>
      </c>
      <c r="H789" s="4">
        <v>25000000</v>
      </c>
      <c r="I789" s="4">
        <f t="shared" si="161"/>
        <v>12839308.584999997</v>
      </c>
      <c r="J789" s="3">
        <v>210000000000</v>
      </c>
      <c r="K789" s="4">
        <f t="shared" si="162"/>
        <v>8.4606656612149139E-2</v>
      </c>
      <c r="L789" s="6">
        <f t="shared" si="164"/>
        <v>2.5381996983644743</v>
      </c>
      <c r="M789" s="4">
        <f t="shared" si="165"/>
        <v>12832830.891013965</v>
      </c>
      <c r="N789" s="4">
        <f t="shared" si="166"/>
        <v>758381869.98936605</v>
      </c>
      <c r="O789" s="4">
        <f t="shared" si="167"/>
        <v>52972306054.915947</v>
      </c>
      <c r="P789" s="4">
        <f t="shared" si="168"/>
        <v>-4481809708.3419418</v>
      </c>
      <c r="Q789" s="4">
        <f t="shared" si="171"/>
        <v>101480886.27716804</v>
      </c>
      <c r="R789" s="4">
        <f t="shared" si="171"/>
        <v>7088350578.1508789</v>
      </c>
      <c r="S789" s="4">
        <f t="shared" si="171"/>
        <v>-599721643.31214046</v>
      </c>
      <c r="T789" s="3"/>
      <c r="U789" s="4">
        <f t="shared" si="169"/>
        <v>35950064.037999988</v>
      </c>
      <c r="V789">
        <f t="shared" si="170"/>
        <v>644361009345.33679</v>
      </c>
    </row>
    <row r="790" spans="1:22" x14ac:dyDescent="0.5">
      <c r="A790" s="3">
        <v>180</v>
      </c>
      <c r="B790" s="3">
        <v>0.45441741339999997</v>
      </c>
      <c r="C790" s="3">
        <v>5</v>
      </c>
      <c r="D790" s="3">
        <v>30</v>
      </c>
      <c r="E790" s="3">
        <v>6.5000000000000002E-2</v>
      </c>
      <c r="F790" s="3">
        <f t="shared" si="163"/>
        <v>3.068385758787318</v>
      </c>
      <c r="G790" s="5">
        <v>0.4</v>
      </c>
      <c r="H790" s="4">
        <v>25000000</v>
      </c>
      <c r="I790" s="4">
        <f t="shared" si="161"/>
        <v>11360435.334999999</v>
      </c>
      <c r="J790" s="3">
        <v>210000000000</v>
      </c>
      <c r="K790" s="4">
        <f t="shared" si="162"/>
        <v>8.4606656612149139E-2</v>
      </c>
      <c r="L790" s="6">
        <f t="shared" si="164"/>
        <v>2.5381996983644743</v>
      </c>
      <c r="M790" s="4">
        <f t="shared" si="165"/>
        <v>11239498.136455303</v>
      </c>
      <c r="N790" s="4">
        <f t="shared" si="166"/>
        <v>664220676.39305353</v>
      </c>
      <c r="O790" s="4">
        <f t="shared" si="167"/>
        <v>46395229567.380722</v>
      </c>
      <c r="P790" s="4">
        <f t="shared" si="168"/>
        <v>-3925345256.4492092</v>
      </c>
      <c r="Q790" s="4">
        <f t="shared" si="171"/>
        <v>94161193.596312523</v>
      </c>
      <c r="R790" s="4">
        <f t="shared" si="171"/>
        <v>6577076487.5352249</v>
      </c>
      <c r="S790" s="4">
        <f t="shared" si="171"/>
        <v>-556464451.89273262</v>
      </c>
      <c r="T790" s="3"/>
      <c r="U790" s="4">
        <f t="shared" si="169"/>
        <v>31809218.937999994</v>
      </c>
      <c r="V790">
        <f t="shared" si="170"/>
        <v>644361009345.33679</v>
      </c>
    </row>
    <row r="791" spans="1:22" x14ac:dyDescent="0.5">
      <c r="A791" s="3">
        <v>180</v>
      </c>
      <c r="B791" s="3">
        <v>0.38463508299999999</v>
      </c>
      <c r="C791" s="3">
        <v>5</v>
      </c>
      <c r="D791" s="3">
        <v>30</v>
      </c>
      <c r="E791" s="3">
        <v>6.5000000000000002E-2</v>
      </c>
      <c r="F791" s="3">
        <f t="shared" si="163"/>
        <v>3.068385758787318</v>
      </c>
      <c r="G791" s="5">
        <v>0.4</v>
      </c>
      <c r="H791" s="4">
        <v>25000000</v>
      </c>
      <c r="I791" s="4">
        <f t="shared" si="161"/>
        <v>9615877.0749999993</v>
      </c>
      <c r="J791" s="3">
        <v>210000000000</v>
      </c>
      <c r="K791" s="4">
        <f t="shared" si="162"/>
        <v>8.4606656612149139E-2</v>
      </c>
      <c r="L791" s="6">
        <f t="shared" si="164"/>
        <v>2.5381996983644743</v>
      </c>
      <c r="M791" s="4">
        <f t="shared" si="165"/>
        <v>9382250.1788448207</v>
      </c>
      <c r="N791" s="4">
        <f t="shared" si="166"/>
        <v>554462884.74999094</v>
      </c>
      <c r="O791" s="4">
        <f t="shared" si="167"/>
        <v>38728744435.148415</v>
      </c>
      <c r="P791" s="4">
        <f t="shared" si="168"/>
        <v>-3276709581.444284</v>
      </c>
      <c r="Q791" s="4">
        <f t="shared" si="171"/>
        <v>109757791.64306259</v>
      </c>
      <c r="R791" s="4">
        <f t="shared" si="171"/>
        <v>7666485132.2323074</v>
      </c>
      <c r="S791" s="4">
        <f t="shared" si="171"/>
        <v>-648635675.00492525</v>
      </c>
      <c r="T791" s="3"/>
      <c r="U791" s="4">
        <f t="shared" si="169"/>
        <v>26924455.809999995</v>
      </c>
      <c r="V791">
        <f t="shared" si="170"/>
        <v>644361009345.33679</v>
      </c>
    </row>
    <row r="792" spans="1:22" x14ac:dyDescent="0.5">
      <c r="A792" s="3">
        <v>180</v>
      </c>
      <c r="B792" s="3">
        <v>0.32957746460000004</v>
      </c>
      <c r="C792" s="3">
        <v>5</v>
      </c>
      <c r="D792" s="3">
        <v>30</v>
      </c>
      <c r="E792" s="3">
        <v>6.5000000000000002E-2</v>
      </c>
      <c r="F792" s="3">
        <f t="shared" si="163"/>
        <v>3.068385758787318</v>
      </c>
      <c r="G792" s="5">
        <v>0.4</v>
      </c>
      <c r="H792" s="4">
        <v>25000000</v>
      </c>
      <c r="I792" s="4">
        <f t="shared" si="161"/>
        <v>8239436.6150000012</v>
      </c>
      <c r="J792" s="3">
        <v>210000000000</v>
      </c>
      <c r="K792" s="4">
        <f t="shared" si="162"/>
        <v>8.4606656612149139E-2</v>
      </c>
      <c r="L792" s="6">
        <f t="shared" si="164"/>
        <v>2.5381996983644743</v>
      </c>
      <c r="M792" s="4">
        <f t="shared" si="165"/>
        <v>7936420.5818222966</v>
      </c>
      <c r="N792" s="4">
        <f t="shared" si="166"/>
        <v>469018685.97669315</v>
      </c>
      <c r="O792" s="4">
        <f t="shared" si="167"/>
        <v>32760542362.886757</v>
      </c>
      <c r="P792" s="4">
        <f t="shared" si="168"/>
        <v>-2771759958.1245251</v>
      </c>
      <c r="Q792" s="4">
        <f t="shared" si="171"/>
        <v>85444198.773297787</v>
      </c>
      <c r="R792" s="4">
        <f t="shared" si="171"/>
        <v>5968202072.2616577</v>
      </c>
      <c r="S792" s="4">
        <f t="shared" si="171"/>
        <v>-504949623.31975889</v>
      </c>
      <c r="T792" s="3"/>
      <c r="U792" s="4">
        <f t="shared" si="169"/>
        <v>23070422.522000004</v>
      </c>
      <c r="V792">
        <f t="shared" si="170"/>
        <v>644361009345.33679</v>
      </c>
    </row>
    <row r="793" spans="1:22" x14ac:dyDescent="0.5">
      <c r="A793" s="3">
        <v>180</v>
      </c>
      <c r="B793" s="3">
        <v>0.27413572380000001</v>
      </c>
      <c r="C793" s="3">
        <v>5</v>
      </c>
      <c r="D793" s="3">
        <v>30</v>
      </c>
      <c r="E793" s="3">
        <v>6.5000000000000002E-2</v>
      </c>
      <c r="F793" s="3">
        <f t="shared" si="163"/>
        <v>3.068385758787318</v>
      </c>
      <c r="G793" s="5">
        <v>0.4</v>
      </c>
      <c r="H793" s="4">
        <v>25000000</v>
      </c>
      <c r="I793" s="4">
        <f t="shared" si="161"/>
        <v>6853393.0950000007</v>
      </c>
      <c r="J793" s="3">
        <v>210000000000</v>
      </c>
      <c r="K793" s="4">
        <f t="shared" si="162"/>
        <v>8.4606656612149139E-2</v>
      </c>
      <c r="L793" s="6">
        <f t="shared" si="164"/>
        <v>2.5381996983644743</v>
      </c>
      <c r="M793" s="4">
        <f t="shared" si="165"/>
        <v>6500800.0860797064</v>
      </c>
      <c r="N793" s="4">
        <f t="shared" si="166"/>
        <v>384177814.51171422</v>
      </c>
      <c r="O793" s="4">
        <f t="shared" si="167"/>
        <v>26834482172.033741</v>
      </c>
      <c r="P793" s="4">
        <f t="shared" si="168"/>
        <v>-2270375818.4940968</v>
      </c>
      <c r="Q793" s="4">
        <f t="shared" si="171"/>
        <v>84840871.464978933</v>
      </c>
      <c r="R793" s="4">
        <f t="shared" si="171"/>
        <v>5926060190.8530159</v>
      </c>
      <c r="S793" s="4">
        <f t="shared" si="171"/>
        <v>-501384139.63042831</v>
      </c>
      <c r="T793" s="3"/>
      <c r="U793" s="4">
        <f t="shared" si="169"/>
        <v>19189500.666000001</v>
      </c>
      <c r="V793">
        <f t="shared" si="170"/>
        <v>644361009345.33679</v>
      </c>
    </row>
    <row r="794" spans="1:22" x14ac:dyDescent="0.5">
      <c r="A794" s="3">
        <v>200</v>
      </c>
      <c r="B794" s="5">
        <v>1</v>
      </c>
      <c r="C794" s="3">
        <v>5</v>
      </c>
      <c r="D794" s="3">
        <v>35</v>
      </c>
      <c r="E794" s="3">
        <v>7.0000000000000007E-2</v>
      </c>
      <c r="F794" s="3">
        <f t="shared" si="163"/>
        <v>3.2944744252340157</v>
      </c>
      <c r="G794" s="5">
        <v>0.3</v>
      </c>
      <c r="H794" s="4">
        <v>30000000</v>
      </c>
      <c r="I794" s="4">
        <f>B794*$H$794</f>
        <v>30000000</v>
      </c>
      <c r="J794" s="3">
        <v>210000000000</v>
      </c>
      <c r="K794" s="4">
        <f>(($M$794*C794)/(4*J794*F794))^(1/4)</f>
        <v>8.2103800042042735E-2</v>
      </c>
      <c r="L794" s="6">
        <f t="shared" si="164"/>
        <v>2.8736330014714957</v>
      </c>
      <c r="M794" s="4">
        <f t="shared" si="165"/>
        <v>25150606.073408902</v>
      </c>
      <c r="N794" s="4">
        <f t="shared" si="166"/>
        <v>1531634714.868866</v>
      </c>
      <c r="O794" s="4">
        <f t="shared" si="167"/>
        <v>113605325170.27563</v>
      </c>
      <c r="P794" s="4">
        <f t="shared" si="168"/>
        <v>-9327428901.4915543</v>
      </c>
      <c r="Q794" s="4">
        <f>N794</f>
        <v>1531634714.868866</v>
      </c>
      <c r="R794" s="4">
        <f t="shared" ref="R794:S794" si="172">O794</f>
        <v>113605325170.27563</v>
      </c>
      <c r="S794" s="4">
        <f t="shared" si="172"/>
        <v>-9327428901.4915543</v>
      </c>
      <c r="T794" s="3"/>
      <c r="U794" s="4">
        <f t="shared" si="169"/>
        <v>78000000</v>
      </c>
      <c r="V794">
        <f t="shared" si="170"/>
        <v>691839629299.14331</v>
      </c>
    </row>
    <row r="795" spans="1:22" x14ac:dyDescent="0.5">
      <c r="A795" s="3">
        <v>200</v>
      </c>
      <c r="B795" s="5">
        <v>1</v>
      </c>
      <c r="C795" s="3">
        <v>5</v>
      </c>
      <c r="D795" s="3">
        <v>35</v>
      </c>
      <c r="E795" s="3">
        <v>7.0000000000000007E-2</v>
      </c>
      <c r="F795" s="3">
        <f t="shared" si="163"/>
        <v>3.2944744252340157</v>
      </c>
      <c r="G795" s="5">
        <v>0.3</v>
      </c>
      <c r="H795" s="4">
        <v>30000000</v>
      </c>
      <c r="I795" s="4">
        <f t="shared" ref="I795:I837" si="173">B795*$H$794</f>
        <v>30000000</v>
      </c>
      <c r="J795" s="3">
        <v>210000000000</v>
      </c>
      <c r="K795" s="4">
        <f t="shared" ref="K795:K837" si="174">(($M$794*C795)/(4*J795*F795))^(1/4)</f>
        <v>8.2103800042042735E-2</v>
      </c>
      <c r="L795" s="6">
        <f t="shared" si="164"/>
        <v>2.8736330014714957</v>
      </c>
      <c r="M795" s="4">
        <f t="shared" si="165"/>
        <v>25150606.073408902</v>
      </c>
      <c r="N795" s="4">
        <f t="shared" si="166"/>
        <v>1531634714.868866</v>
      </c>
      <c r="O795" s="4">
        <f t="shared" si="167"/>
        <v>113605325170.27563</v>
      </c>
      <c r="P795" s="4">
        <f t="shared" si="168"/>
        <v>-9327428901.4915543</v>
      </c>
      <c r="Q795" s="4">
        <f t="shared" si="171"/>
        <v>0</v>
      </c>
      <c r="R795" s="4">
        <f t="shared" si="171"/>
        <v>0</v>
      </c>
      <c r="S795" s="4">
        <f t="shared" si="171"/>
        <v>0</v>
      </c>
      <c r="T795" s="3"/>
      <c r="U795" s="4">
        <f t="shared" si="169"/>
        <v>78000000</v>
      </c>
      <c r="V795">
        <f t="shared" si="170"/>
        <v>691839629299.14331</v>
      </c>
    </row>
    <row r="796" spans="1:22" x14ac:dyDescent="0.5">
      <c r="A796" s="3">
        <v>200</v>
      </c>
      <c r="B796" s="5">
        <v>1</v>
      </c>
      <c r="C796" s="3">
        <v>5</v>
      </c>
      <c r="D796" s="3">
        <v>35</v>
      </c>
      <c r="E796" s="3">
        <v>7.0000000000000007E-2</v>
      </c>
      <c r="F796" s="3">
        <f t="shared" si="163"/>
        <v>3.2944744252340157</v>
      </c>
      <c r="G796" s="5">
        <v>0.3</v>
      </c>
      <c r="H796" s="4">
        <v>30000000</v>
      </c>
      <c r="I796" s="4">
        <f t="shared" si="173"/>
        <v>30000000</v>
      </c>
      <c r="J796" s="3">
        <v>210000000000</v>
      </c>
      <c r="K796" s="4">
        <f t="shared" si="174"/>
        <v>8.2103800042042735E-2</v>
      </c>
      <c r="L796" s="6">
        <f t="shared" si="164"/>
        <v>2.8736330014714957</v>
      </c>
      <c r="M796" s="4">
        <f t="shared" si="165"/>
        <v>25150606.073408902</v>
      </c>
      <c r="N796" s="4">
        <f t="shared" si="166"/>
        <v>1531634714.868866</v>
      </c>
      <c r="O796" s="4">
        <f t="shared" si="167"/>
        <v>113605325170.27563</v>
      </c>
      <c r="P796" s="4">
        <f t="shared" si="168"/>
        <v>-9327428901.4915543</v>
      </c>
      <c r="Q796" s="4">
        <f t="shared" si="171"/>
        <v>0</v>
      </c>
      <c r="R796" s="4">
        <f t="shared" si="171"/>
        <v>0</v>
      </c>
      <c r="S796" s="4">
        <f t="shared" si="171"/>
        <v>0</v>
      </c>
      <c r="T796" s="3"/>
      <c r="U796" s="4">
        <f t="shared" si="169"/>
        <v>78000000</v>
      </c>
      <c r="V796">
        <f t="shared" si="170"/>
        <v>691839629299.14331</v>
      </c>
    </row>
    <row r="797" spans="1:22" x14ac:dyDescent="0.5">
      <c r="A797" s="3">
        <v>200</v>
      </c>
      <c r="B797" s="5">
        <v>1</v>
      </c>
      <c r="C797" s="3">
        <v>5</v>
      </c>
      <c r="D797" s="3">
        <v>35</v>
      </c>
      <c r="E797" s="3">
        <v>7.0000000000000007E-2</v>
      </c>
      <c r="F797" s="3">
        <f t="shared" si="163"/>
        <v>3.2944744252340157</v>
      </c>
      <c r="G797" s="5">
        <v>0.3</v>
      </c>
      <c r="H797" s="4">
        <v>30000000</v>
      </c>
      <c r="I797" s="4">
        <f t="shared" si="173"/>
        <v>30000000</v>
      </c>
      <c r="J797" s="3">
        <v>210000000000</v>
      </c>
      <c r="K797" s="4">
        <f t="shared" si="174"/>
        <v>8.2103800042042735E-2</v>
      </c>
      <c r="L797" s="6">
        <f t="shared" si="164"/>
        <v>2.8736330014714957</v>
      </c>
      <c r="M797" s="4">
        <f t="shared" si="165"/>
        <v>25150606.073408902</v>
      </c>
      <c r="N797" s="4">
        <f t="shared" si="166"/>
        <v>1531634714.868866</v>
      </c>
      <c r="O797" s="4">
        <f t="shared" si="167"/>
        <v>113605325170.27563</v>
      </c>
      <c r="P797" s="4">
        <f t="shared" si="168"/>
        <v>-9327428901.4915543</v>
      </c>
      <c r="Q797" s="4">
        <f t="shared" si="171"/>
        <v>0</v>
      </c>
      <c r="R797" s="4">
        <f t="shared" si="171"/>
        <v>0</v>
      </c>
      <c r="S797" s="4">
        <f t="shared" si="171"/>
        <v>0</v>
      </c>
      <c r="T797" s="3"/>
      <c r="U797" s="4">
        <f t="shared" si="169"/>
        <v>78000000</v>
      </c>
      <c r="V797">
        <f t="shared" si="170"/>
        <v>691839629299.14331</v>
      </c>
    </row>
    <row r="798" spans="1:22" x14ac:dyDescent="0.5">
      <c r="A798" s="3">
        <v>200</v>
      </c>
      <c r="B798" s="5">
        <v>1</v>
      </c>
      <c r="C798" s="3">
        <v>5</v>
      </c>
      <c r="D798" s="3">
        <v>35</v>
      </c>
      <c r="E798" s="3">
        <v>7.0000000000000007E-2</v>
      </c>
      <c r="F798" s="3">
        <f t="shared" si="163"/>
        <v>3.2944744252340157</v>
      </c>
      <c r="G798" s="5">
        <v>0.3</v>
      </c>
      <c r="H798" s="4">
        <v>30000000</v>
      </c>
      <c r="I798" s="4">
        <f t="shared" si="173"/>
        <v>30000000</v>
      </c>
      <c r="J798" s="3">
        <v>210000000000</v>
      </c>
      <c r="K798" s="4">
        <f t="shared" si="174"/>
        <v>8.2103800042042735E-2</v>
      </c>
      <c r="L798" s="6">
        <f t="shared" si="164"/>
        <v>2.8736330014714957</v>
      </c>
      <c r="M798" s="4">
        <f t="shared" si="165"/>
        <v>25150606.073408902</v>
      </c>
      <c r="N798" s="4">
        <f t="shared" si="166"/>
        <v>1531634714.868866</v>
      </c>
      <c r="O798" s="4">
        <f t="shared" si="167"/>
        <v>113605325170.27563</v>
      </c>
      <c r="P798" s="4">
        <f t="shared" si="168"/>
        <v>-9327428901.4915543</v>
      </c>
      <c r="Q798" s="4">
        <f t="shared" si="171"/>
        <v>0</v>
      </c>
      <c r="R798" s="4">
        <f t="shared" si="171"/>
        <v>0</v>
      </c>
      <c r="S798" s="4">
        <f t="shared" si="171"/>
        <v>0</v>
      </c>
      <c r="T798" s="3"/>
      <c r="U798" s="4">
        <f t="shared" si="169"/>
        <v>78000000</v>
      </c>
      <c r="V798">
        <f t="shared" si="170"/>
        <v>691839629299.14331</v>
      </c>
    </row>
    <row r="799" spans="1:22" x14ac:dyDescent="0.5">
      <c r="A799" s="3">
        <v>200</v>
      </c>
      <c r="B799" s="5">
        <v>1</v>
      </c>
      <c r="C799" s="3">
        <v>5</v>
      </c>
      <c r="D799" s="3">
        <v>35</v>
      </c>
      <c r="E799" s="3">
        <v>7.0000000000000007E-2</v>
      </c>
      <c r="F799" s="3">
        <f t="shared" si="163"/>
        <v>3.2944744252340157</v>
      </c>
      <c r="G799" s="5">
        <v>0.3</v>
      </c>
      <c r="H799" s="4">
        <v>30000000</v>
      </c>
      <c r="I799" s="4">
        <f t="shared" si="173"/>
        <v>30000000</v>
      </c>
      <c r="J799" s="3">
        <v>210000000000</v>
      </c>
      <c r="K799" s="4">
        <f t="shared" si="174"/>
        <v>8.2103800042042735E-2</v>
      </c>
      <c r="L799" s="6">
        <f t="shared" si="164"/>
        <v>2.8736330014714957</v>
      </c>
      <c r="M799" s="4">
        <f t="shared" si="165"/>
        <v>25150606.073408902</v>
      </c>
      <c r="N799" s="4">
        <f t="shared" si="166"/>
        <v>1531634714.868866</v>
      </c>
      <c r="O799" s="4">
        <f t="shared" si="167"/>
        <v>113605325170.27563</v>
      </c>
      <c r="P799" s="4">
        <f t="shared" si="168"/>
        <v>-9327428901.4915543</v>
      </c>
      <c r="Q799" s="4">
        <f t="shared" si="171"/>
        <v>0</v>
      </c>
      <c r="R799" s="4">
        <f t="shared" si="171"/>
        <v>0</v>
      </c>
      <c r="S799" s="4">
        <f t="shared" si="171"/>
        <v>0</v>
      </c>
      <c r="T799" s="3"/>
      <c r="U799" s="4">
        <f t="shared" si="169"/>
        <v>78000000</v>
      </c>
      <c r="V799">
        <f t="shared" si="170"/>
        <v>691839629299.14331</v>
      </c>
    </row>
    <row r="800" spans="1:22" x14ac:dyDescent="0.5">
      <c r="A800" s="3">
        <v>200</v>
      </c>
      <c r="B800" s="5">
        <v>1</v>
      </c>
      <c r="C800" s="3">
        <v>5</v>
      </c>
      <c r="D800" s="3">
        <v>35</v>
      </c>
      <c r="E800" s="3">
        <v>7.0000000000000007E-2</v>
      </c>
      <c r="F800" s="3">
        <f t="shared" si="163"/>
        <v>3.2944744252340157</v>
      </c>
      <c r="G800" s="5">
        <v>0.3</v>
      </c>
      <c r="H800" s="4">
        <v>30000000</v>
      </c>
      <c r="I800" s="4">
        <f t="shared" si="173"/>
        <v>30000000</v>
      </c>
      <c r="J800" s="3">
        <v>210000000000</v>
      </c>
      <c r="K800" s="4">
        <f t="shared" si="174"/>
        <v>8.2103800042042735E-2</v>
      </c>
      <c r="L800" s="6">
        <f t="shared" si="164"/>
        <v>2.8736330014714957</v>
      </c>
      <c r="M800" s="4">
        <f t="shared" si="165"/>
        <v>25150606.073408902</v>
      </c>
      <c r="N800" s="4">
        <f t="shared" si="166"/>
        <v>1531634714.868866</v>
      </c>
      <c r="O800" s="4">
        <f t="shared" si="167"/>
        <v>113605325170.27563</v>
      </c>
      <c r="P800" s="4">
        <f t="shared" si="168"/>
        <v>-9327428901.4915543</v>
      </c>
      <c r="Q800" s="4">
        <f t="shared" si="171"/>
        <v>0</v>
      </c>
      <c r="R800" s="4">
        <f t="shared" si="171"/>
        <v>0</v>
      </c>
      <c r="S800" s="4">
        <f t="shared" si="171"/>
        <v>0</v>
      </c>
      <c r="T800" s="3"/>
      <c r="U800" s="4">
        <f t="shared" si="169"/>
        <v>78000000</v>
      </c>
      <c r="V800">
        <f t="shared" si="170"/>
        <v>691839629299.14331</v>
      </c>
    </row>
    <row r="801" spans="1:22" x14ac:dyDescent="0.5">
      <c r="A801" s="3">
        <v>200</v>
      </c>
      <c r="B801" s="5">
        <v>1</v>
      </c>
      <c r="C801" s="3">
        <v>5</v>
      </c>
      <c r="D801" s="3">
        <v>35</v>
      </c>
      <c r="E801" s="3">
        <v>7.0000000000000007E-2</v>
      </c>
      <c r="F801" s="3">
        <f t="shared" si="163"/>
        <v>3.2944744252340157</v>
      </c>
      <c r="G801" s="5">
        <v>0.3</v>
      </c>
      <c r="H801" s="4">
        <v>30000000</v>
      </c>
      <c r="I801" s="4">
        <f t="shared" si="173"/>
        <v>30000000</v>
      </c>
      <c r="J801" s="3">
        <v>210000000000</v>
      </c>
      <c r="K801" s="4">
        <f t="shared" si="174"/>
        <v>8.2103800042042735E-2</v>
      </c>
      <c r="L801" s="6">
        <f t="shared" si="164"/>
        <v>2.8736330014714957</v>
      </c>
      <c r="M801" s="4">
        <f t="shared" si="165"/>
        <v>25150606.073408902</v>
      </c>
      <c r="N801" s="4">
        <f t="shared" si="166"/>
        <v>1531634714.868866</v>
      </c>
      <c r="O801" s="4">
        <f t="shared" si="167"/>
        <v>113605325170.27563</v>
      </c>
      <c r="P801" s="4">
        <f t="shared" si="168"/>
        <v>-9327428901.4915543</v>
      </c>
      <c r="Q801" s="4">
        <f t="shared" si="171"/>
        <v>0</v>
      </c>
      <c r="R801" s="4">
        <f t="shared" si="171"/>
        <v>0</v>
      </c>
      <c r="S801" s="4">
        <f t="shared" si="171"/>
        <v>0</v>
      </c>
      <c r="T801" s="3"/>
      <c r="U801" s="4">
        <f t="shared" si="169"/>
        <v>78000000</v>
      </c>
      <c r="V801">
        <f t="shared" si="170"/>
        <v>691839629299.14331</v>
      </c>
    </row>
    <row r="802" spans="1:22" x14ac:dyDescent="0.5">
      <c r="A802" s="3">
        <v>200</v>
      </c>
      <c r="B802" s="5">
        <v>1</v>
      </c>
      <c r="C802" s="3">
        <v>5</v>
      </c>
      <c r="D802" s="3">
        <v>35</v>
      </c>
      <c r="E802" s="3">
        <v>7.0000000000000007E-2</v>
      </c>
      <c r="F802" s="3">
        <f t="shared" si="163"/>
        <v>3.2944744252340157</v>
      </c>
      <c r="G802" s="5">
        <v>0.3</v>
      </c>
      <c r="H802" s="4">
        <v>30000000</v>
      </c>
      <c r="I802" s="4">
        <f t="shared" si="173"/>
        <v>30000000</v>
      </c>
      <c r="J802" s="3">
        <v>210000000000</v>
      </c>
      <c r="K802" s="4">
        <f t="shared" si="174"/>
        <v>8.2103800042042735E-2</v>
      </c>
      <c r="L802" s="6">
        <f t="shared" si="164"/>
        <v>2.8736330014714957</v>
      </c>
      <c r="M802" s="4">
        <f t="shared" si="165"/>
        <v>25150606.073408902</v>
      </c>
      <c r="N802" s="4">
        <f t="shared" si="166"/>
        <v>1531634714.868866</v>
      </c>
      <c r="O802" s="4">
        <f t="shared" si="167"/>
        <v>113605325170.27563</v>
      </c>
      <c r="P802" s="4">
        <f t="shared" si="168"/>
        <v>-9327428901.4915543</v>
      </c>
      <c r="Q802" s="4">
        <f t="shared" si="171"/>
        <v>0</v>
      </c>
      <c r="R802" s="4">
        <f t="shared" si="171"/>
        <v>0</v>
      </c>
      <c r="S802" s="4">
        <f t="shared" si="171"/>
        <v>0</v>
      </c>
      <c r="T802" s="3"/>
      <c r="U802" s="4">
        <f t="shared" si="169"/>
        <v>78000000</v>
      </c>
      <c r="V802">
        <f t="shared" si="170"/>
        <v>691839629299.14331</v>
      </c>
    </row>
    <row r="803" spans="1:22" x14ac:dyDescent="0.5">
      <c r="A803" s="3">
        <v>200</v>
      </c>
      <c r="B803" s="5">
        <v>1</v>
      </c>
      <c r="C803" s="3">
        <v>5</v>
      </c>
      <c r="D803" s="3">
        <v>35</v>
      </c>
      <c r="E803" s="3">
        <v>7.0000000000000007E-2</v>
      </c>
      <c r="F803" s="3">
        <f t="shared" si="163"/>
        <v>3.2944744252340157</v>
      </c>
      <c r="G803" s="5">
        <v>0.3</v>
      </c>
      <c r="H803" s="4">
        <v>30000000</v>
      </c>
      <c r="I803" s="4">
        <f t="shared" si="173"/>
        <v>30000000</v>
      </c>
      <c r="J803" s="3">
        <v>210000000000</v>
      </c>
      <c r="K803" s="4">
        <f t="shared" si="174"/>
        <v>8.2103800042042735E-2</v>
      </c>
      <c r="L803" s="6">
        <f t="shared" si="164"/>
        <v>2.8736330014714957</v>
      </c>
      <c r="M803" s="4">
        <f t="shared" si="165"/>
        <v>25150606.073408902</v>
      </c>
      <c r="N803" s="4">
        <f t="shared" si="166"/>
        <v>1531634714.868866</v>
      </c>
      <c r="O803" s="4">
        <f t="shared" si="167"/>
        <v>113605325170.27563</v>
      </c>
      <c r="P803" s="4">
        <f t="shared" si="168"/>
        <v>-9327428901.4915543</v>
      </c>
      <c r="Q803" s="4">
        <f t="shared" si="171"/>
        <v>0</v>
      </c>
      <c r="R803" s="4">
        <f t="shared" si="171"/>
        <v>0</v>
      </c>
      <c r="S803" s="4">
        <f t="shared" si="171"/>
        <v>0</v>
      </c>
      <c r="T803" s="3"/>
      <c r="U803" s="4">
        <f t="shared" si="169"/>
        <v>78000000</v>
      </c>
      <c r="V803">
        <f t="shared" si="170"/>
        <v>691839629299.14331</v>
      </c>
    </row>
    <row r="804" spans="1:22" x14ac:dyDescent="0.5">
      <c r="A804" s="3">
        <v>200</v>
      </c>
      <c r="B804" s="5">
        <v>1</v>
      </c>
      <c r="C804" s="3">
        <v>5</v>
      </c>
      <c r="D804" s="3">
        <v>35</v>
      </c>
      <c r="E804" s="3">
        <v>7.0000000000000007E-2</v>
      </c>
      <c r="F804" s="3">
        <f t="shared" si="163"/>
        <v>3.2944744252340157</v>
      </c>
      <c r="G804" s="5">
        <v>0.3</v>
      </c>
      <c r="H804" s="4">
        <v>30000000</v>
      </c>
      <c r="I804" s="4">
        <f t="shared" si="173"/>
        <v>30000000</v>
      </c>
      <c r="J804" s="3">
        <v>210000000000</v>
      </c>
      <c r="K804" s="4">
        <f t="shared" si="174"/>
        <v>8.2103800042042735E-2</v>
      </c>
      <c r="L804" s="6">
        <f t="shared" si="164"/>
        <v>2.8736330014714957</v>
      </c>
      <c r="M804" s="4">
        <f t="shared" si="165"/>
        <v>25150606.073408902</v>
      </c>
      <c r="N804" s="4">
        <f t="shared" si="166"/>
        <v>1531634714.868866</v>
      </c>
      <c r="O804" s="4">
        <f t="shared" si="167"/>
        <v>113605325170.27563</v>
      </c>
      <c r="P804" s="4">
        <f t="shared" si="168"/>
        <v>-9327428901.4915543</v>
      </c>
      <c r="Q804" s="4">
        <f t="shared" si="171"/>
        <v>0</v>
      </c>
      <c r="R804" s="4">
        <f t="shared" si="171"/>
        <v>0</v>
      </c>
      <c r="S804" s="4">
        <f t="shared" si="171"/>
        <v>0</v>
      </c>
      <c r="T804" s="3"/>
      <c r="U804" s="4">
        <f t="shared" si="169"/>
        <v>78000000</v>
      </c>
      <c r="V804">
        <f t="shared" si="170"/>
        <v>691839629299.14331</v>
      </c>
    </row>
    <row r="805" spans="1:22" x14ac:dyDescent="0.5">
      <c r="A805" s="3">
        <v>200</v>
      </c>
      <c r="B805" s="5">
        <v>1</v>
      </c>
      <c r="C805" s="3">
        <v>5</v>
      </c>
      <c r="D805" s="3">
        <v>35</v>
      </c>
      <c r="E805" s="3">
        <v>7.0000000000000007E-2</v>
      </c>
      <c r="F805" s="3">
        <f t="shared" si="163"/>
        <v>3.2944744252340157</v>
      </c>
      <c r="G805" s="5">
        <v>0.3</v>
      </c>
      <c r="H805" s="4">
        <v>30000000</v>
      </c>
      <c r="I805" s="4">
        <f t="shared" si="173"/>
        <v>30000000</v>
      </c>
      <c r="J805" s="3">
        <v>210000000000</v>
      </c>
      <c r="K805" s="4">
        <f t="shared" si="174"/>
        <v>8.2103800042042735E-2</v>
      </c>
      <c r="L805" s="6">
        <f t="shared" si="164"/>
        <v>2.8736330014714957</v>
      </c>
      <c r="M805" s="4">
        <f t="shared" si="165"/>
        <v>25150606.073408902</v>
      </c>
      <c r="N805" s="4">
        <f t="shared" si="166"/>
        <v>1531634714.868866</v>
      </c>
      <c r="O805" s="4">
        <f t="shared" si="167"/>
        <v>113605325170.27563</v>
      </c>
      <c r="P805" s="4">
        <f t="shared" si="168"/>
        <v>-9327428901.4915543</v>
      </c>
      <c r="Q805" s="4">
        <f t="shared" si="171"/>
        <v>0</v>
      </c>
      <c r="R805" s="4">
        <f t="shared" si="171"/>
        <v>0</v>
      </c>
      <c r="S805" s="4">
        <f t="shared" si="171"/>
        <v>0</v>
      </c>
      <c r="T805" s="3"/>
      <c r="U805" s="4">
        <f t="shared" si="169"/>
        <v>78000000</v>
      </c>
      <c r="V805">
        <f t="shared" si="170"/>
        <v>691839629299.14331</v>
      </c>
    </row>
    <row r="806" spans="1:22" x14ac:dyDescent="0.5">
      <c r="A806" s="3">
        <v>200</v>
      </c>
      <c r="B806" s="5">
        <v>1</v>
      </c>
      <c r="C806" s="3">
        <v>5</v>
      </c>
      <c r="D806" s="3">
        <v>35</v>
      </c>
      <c r="E806" s="3">
        <v>7.0000000000000007E-2</v>
      </c>
      <c r="F806" s="3">
        <f t="shared" si="163"/>
        <v>3.2944744252340157</v>
      </c>
      <c r="G806" s="5">
        <v>0.3</v>
      </c>
      <c r="H806" s="4">
        <v>30000000</v>
      </c>
      <c r="I806" s="4">
        <f t="shared" si="173"/>
        <v>30000000</v>
      </c>
      <c r="J806" s="3">
        <v>210000000000</v>
      </c>
      <c r="K806" s="4">
        <f t="shared" si="174"/>
        <v>8.2103800042042735E-2</v>
      </c>
      <c r="L806" s="6">
        <f t="shared" si="164"/>
        <v>2.8736330014714957</v>
      </c>
      <c r="M806" s="4">
        <f t="shared" si="165"/>
        <v>25150606.073408902</v>
      </c>
      <c r="N806" s="4">
        <f t="shared" si="166"/>
        <v>1531634714.868866</v>
      </c>
      <c r="O806" s="4">
        <f t="shared" si="167"/>
        <v>113605325170.27563</v>
      </c>
      <c r="P806" s="4">
        <f t="shared" si="168"/>
        <v>-9327428901.4915543</v>
      </c>
      <c r="Q806" s="4">
        <f t="shared" si="171"/>
        <v>0</v>
      </c>
      <c r="R806" s="4">
        <f t="shared" si="171"/>
        <v>0</v>
      </c>
      <c r="S806" s="4">
        <f t="shared" si="171"/>
        <v>0</v>
      </c>
      <c r="T806" s="3"/>
      <c r="U806" s="4">
        <f t="shared" si="169"/>
        <v>78000000</v>
      </c>
      <c r="V806">
        <f t="shared" si="170"/>
        <v>691839629299.14331</v>
      </c>
    </row>
    <row r="807" spans="1:22" x14ac:dyDescent="0.5">
      <c r="A807" s="3">
        <v>200</v>
      </c>
      <c r="B807" s="5">
        <v>1</v>
      </c>
      <c r="C807" s="3">
        <v>5</v>
      </c>
      <c r="D807" s="3">
        <v>35</v>
      </c>
      <c r="E807" s="3">
        <v>7.0000000000000007E-2</v>
      </c>
      <c r="F807" s="3">
        <f t="shared" si="163"/>
        <v>3.2944744252340157</v>
      </c>
      <c r="G807" s="5">
        <v>0.3</v>
      </c>
      <c r="H807" s="4">
        <v>30000000</v>
      </c>
      <c r="I807" s="4">
        <f t="shared" si="173"/>
        <v>30000000</v>
      </c>
      <c r="J807" s="3">
        <v>210000000000</v>
      </c>
      <c r="K807" s="4">
        <f t="shared" si="174"/>
        <v>8.2103800042042735E-2</v>
      </c>
      <c r="L807" s="6">
        <f t="shared" si="164"/>
        <v>2.8736330014714957</v>
      </c>
      <c r="M807" s="4">
        <f t="shared" si="165"/>
        <v>25150606.073408902</v>
      </c>
      <c r="N807" s="4">
        <f t="shared" si="166"/>
        <v>1531634714.868866</v>
      </c>
      <c r="O807" s="4">
        <f t="shared" si="167"/>
        <v>113605325170.27563</v>
      </c>
      <c r="P807" s="4">
        <f t="shared" si="168"/>
        <v>-9327428901.4915543</v>
      </c>
      <c r="Q807" s="4">
        <f t="shared" si="171"/>
        <v>0</v>
      </c>
      <c r="R807" s="4">
        <f t="shared" si="171"/>
        <v>0</v>
      </c>
      <c r="S807" s="4">
        <f t="shared" si="171"/>
        <v>0</v>
      </c>
      <c r="T807" s="3"/>
      <c r="U807" s="4">
        <f t="shared" si="169"/>
        <v>78000000</v>
      </c>
      <c r="V807">
        <f t="shared" si="170"/>
        <v>691839629299.14331</v>
      </c>
    </row>
    <row r="808" spans="1:22" x14ac:dyDescent="0.5">
      <c r="A808" s="3">
        <v>200</v>
      </c>
      <c r="B808" s="5">
        <v>1</v>
      </c>
      <c r="C808" s="3">
        <v>5</v>
      </c>
      <c r="D808" s="3">
        <v>35</v>
      </c>
      <c r="E808" s="3">
        <v>7.0000000000000007E-2</v>
      </c>
      <c r="F808" s="3">
        <f t="shared" si="163"/>
        <v>3.2944744252340157</v>
      </c>
      <c r="G808" s="5">
        <v>0.3</v>
      </c>
      <c r="H808" s="4">
        <v>30000000</v>
      </c>
      <c r="I808" s="4">
        <f t="shared" si="173"/>
        <v>30000000</v>
      </c>
      <c r="J808" s="3">
        <v>210000000000</v>
      </c>
      <c r="K808" s="4">
        <f t="shared" si="174"/>
        <v>8.2103800042042735E-2</v>
      </c>
      <c r="L808" s="6">
        <f t="shared" si="164"/>
        <v>2.8736330014714957</v>
      </c>
      <c r="M808" s="4">
        <f t="shared" si="165"/>
        <v>25150606.073408902</v>
      </c>
      <c r="N808" s="4">
        <f t="shared" si="166"/>
        <v>1531634714.868866</v>
      </c>
      <c r="O808" s="4">
        <f t="shared" si="167"/>
        <v>113605325170.27563</v>
      </c>
      <c r="P808" s="4">
        <f t="shared" si="168"/>
        <v>-9327428901.4915543</v>
      </c>
      <c r="Q808" s="4">
        <f t="shared" si="171"/>
        <v>0</v>
      </c>
      <c r="R808" s="4">
        <f t="shared" si="171"/>
        <v>0</v>
      </c>
      <c r="S808" s="4">
        <f t="shared" si="171"/>
        <v>0</v>
      </c>
      <c r="T808" s="3"/>
      <c r="U808" s="4">
        <f t="shared" si="169"/>
        <v>78000000</v>
      </c>
      <c r="V808">
        <f t="shared" si="170"/>
        <v>691839629299.14331</v>
      </c>
    </row>
    <row r="809" spans="1:22" x14ac:dyDescent="0.5">
      <c r="A809" s="3">
        <v>200</v>
      </c>
      <c r="B809" s="5">
        <v>1</v>
      </c>
      <c r="C809" s="3">
        <v>5</v>
      </c>
      <c r="D809" s="3">
        <v>35</v>
      </c>
      <c r="E809" s="3">
        <v>7.0000000000000007E-2</v>
      </c>
      <c r="F809" s="3">
        <f t="shared" si="163"/>
        <v>3.2944744252340157</v>
      </c>
      <c r="G809" s="5">
        <v>0.3</v>
      </c>
      <c r="H809" s="4">
        <v>30000000</v>
      </c>
      <c r="I809" s="4">
        <f t="shared" si="173"/>
        <v>30000000</v>
      </c>
      <c r="J809" s="3">
        <v>210000000000</v>
      </c>
      <c r="K809" s="4">
        <f t="shared" si="174"/>
        <v>8.2103800042042735E-2</v>
      </c>
      <c r="L809" s="6">
        <f t="shared" si="164"/>
        <v>2.8736330014714957</v>
      </c>
      <c r="M809" s="4">
        <f t="shared" si="165"/>
        <v>25150606.073408902</v>
      </c>
      <c r="N809" s="4">
        <f t="shared" si="166"/>
        <v>1531634714.868866</v>
      </c>
      <c r="O809" s="4">
        <f t="shared" si="167"/>
        <v>113605325170.27563</v>
      </c>
      <c r="P809" s="4">
        <f t="shared" si="168"/>
        <v>-9327428901.4915543</v>
      </c>
      <c r="Q809" s="4">
        <f t="shared" si="171"/>
        <v>0</v>
      </c>
      <c r="R809" s="4">
        <f t="shared" si="171"/>
        <v>0</v>
      </c>
      <c r="S809" s="4">
        <f t="shared" si="171"/>
        <v>0</v>
      </c>
      <c r="T809" s="3"/>
      <c r="U809" s="4">
        <f t="shared" si="169"/>
        <v>78000000</v>
      </c>
      <c r="V809">
        <f t="shared" si="170"/>
        <v>691839629299.14331</v>
      </c>
    </row>
    <row r="810" spans="1:22" x14ac:dyDescent="0.5">
      <c r="A810" s="3">
        <v>200</v>
      </c>
      <c r="B810" s="5">
        <v>1</v>
      </c>
      <c r="C810" s="3">
        <v>5</v>
      </c>
      <c r="D810" s="3">
        <v>35</v>
      </c>
      <c r="E810" s="3">
        <v>7.0000000000000007E-2</v>
      </c>
      <c r="F810" s="3">
        <f t="shared" si="163"/>
        <v>3.2944744252340157</v>
      </c>
      <c r="G810" s="5">
        <v>0.3</v>
      </c>
      <c r="H810" s="4">
        <v>30000000</v>
      </c>
      <c r="I810" s="4">
        <f t="shared" si="173"/>
        <v>30000000</v>
      </c>
      <c r="J810" s="3">
        <v>210000000000</v>
      </c>
      <c r="K810" s="4">
        <f t="shared" si="174"/>
        <v>8.2103800042042735E-2</v>
      </c>
      <c r="L810" s="6">
        <f t="shared" si="164"/>
        <v>2.8736330014714957</v>
      </c>
      <c r="M810" s="4">
        <f t="shared" si="165"/>
        <v>25150606.073408902</v>
      </c>
      <c r="N810" s="4">
        <f t="shared" si="166"/>
        <v>1531634714.868866</v>
      </c>
      <c r="O810" s="4">
        <f t="shared" si="167"/>
        <v>113605325170.27563</v>
      </c>
      <c r="P810" s="4">
        <f t="shared" si="168"/>
        <v>-9327428901.4915543</v>
      </c>
      <c r="Q810" s="4">
        <f t="shared" si="171"/>
        <v>0</v>
      </c>
      <c r="R810" s="4">
        <f t="shared" si="171"/>
        <v>0</v>
      </c>
      <c r="S810" s="4">
        <f t="shared" si="171"/>
        <v>0</v>
      </c>
      <c r="T810" s="3"/>
      <c r="U810" s="4">
        <f t="shared" si="169"/>
        <v>78000000</v>
      </c>
      <c r="V810">
        <f t="shared" si="170"/>
        <v>691839629299.14331</v>
      </c>
    </row>
    <row r="811" spans="1:22" x14ac:dyDescent="0.5">
      <c r="A811" s="3">
        <v>200</v>
      </c>
      <c r="B811" s="5">
        <v>1</v>
      </c>
      <c r="C811" s="3">
        <v>5</v>
      </c>
      <c r="D811" s="3">
        <v>35</v>
      </c>
      <c r="E811" s="3">
        <v>7.0000000000000007E-2</v>
      </c>
      <c r="F811" s="3">
        <f t="shared" si="163"/>
        <v>3.2944744252340157</v>
      </c>
      <c r="G811" s="5">
        <v>0.3</v>
      </c>
      <c r="H811" s="4">
        <v>30000000</v>
      </c>
      <c r="I811" s="4">
        <f t="shared" si="173"/>
        <v>30000000</v>
      </c>
      <c r="J811" s="3">
        <v>210000000000</v>
      </c>
      <c r="K811" s="4">
        <f t="shared" si="174"/>
        <v>8.2103800042042735E-2</v>
      </c>
      <c r="L811" s="6">
        <f t="shared" si="164"/>
        <v>2.8736330014714957</v>
      </c>
      <c r="M811" s="4">
        <f t="shared" si="165"/>
        <v>25150606.073408902</v>
      </c>
      <c r="N811" s="4">
        <f t="shared" si="166"/>
        <v>1531634714.868866</v>
      </c>
      <c r="O811" s="4">
        <f t="shared" si="167"/>
        <v>113605325170.27563</v>
      </c>
      <c r="P811" s="4">
        <f t="shared" si="168"/>
        <v>-9327428901.4915543</v>
      </c>
      <c r="Q811" s="4">
        <f t="shared" si="171"/>
        <v>0</v>
      </c>
      <c r="R811" s="4">
        <f t="shared" si="171"/>
        <v>0</v>
      </c>
      <c r="S811" s="4">
        <f t="shared" si="171"/>
        <v>0</v>
      </c>
      <c r="T811" s="3"/>
      <c r="U811" s="4">
        <f t="shared" si="169"/>
        <v>78000000</v>
      </c>
      <c r="V811">
        <f t="shared" si="170"/>
        <v>691839629299.14331</v>
      </c>
    </row>
    <row r="812" spans="1:22" x14ac:dyDescent="0.5">
      <c r="A812" s="3">
        <v>200</v>
      </c>
      <c r="B812" s="5">
        <v>1</v>
      </c>
      <c r="C812" s="3">
        <v>5</v>
      </c>
      <c r="D812" s="3">
        <v>35</v>
      </c>
      <c r="E812" s="3">
        <v>7.0000000000000007E-2</v>
      </c>
      <c r="F812" s="3">
        <f t="shared" si="163"/>
        <v>3.2944744252340157</v>
      </c>
      <c r="G812" s="5">
        <v>0.3</v>
      </c>
      <c r="H812" s="4">
        <v>30000000</v>
      </c>
      <c r="I812" s="4">
        <f t="shared" si="173"/>
        <v>30000000</v>
      </c>
      <c r="J812" s="3">
        <v>210000000000</v>
      </c>
      <c r="K812" s="4">
        <f t="shared" si="174"/>
        <v>8.2103800042042735E-2</v>
      </c>
      <c r="L812" s="6">
        <f t="shared" si="164"/>
        <v>2.8736330014714957</v>
      </c>
      <c r="M812" s="4">
        <f t="shared" si="165"/>
        <v>25150606.073408902</v>
      </c>
      <c r="N812" s="4">
        <f t="shared" si="166"/>
        <v>1531634714.868866</v>
      </c>
      <c r="O812" s="4">
        <f t="shared" si="167"/>
        <v>113605325170.27563</v>
      </c>
      <c r="P812" s="4">
        <f t="shared" si="168"/>
        <v>-9327428901.4915543</v>
      </c>
      <c r="Q812" s="4">
        <f t="shared" si="171"/>
        <v>0</v>
      </c>
      <c r="R812" s="4">
        <f t="shared" si="171"/>
        <v>0</v>
      </c>
      <c r="S812" s="4">
        <f t="shared" si="171"/>
        <v>0</v>
      </c>
      <c r="T812" s="3"/>
      <c r="U812" s="4">
        <f t="shared" si="169"/>
        <v>78000000</v>
      </c>
      <c r="V812">
        <f t="shared" si="170"/>
        <v>691839629299.14331</v>
      </c>
    </row>
    <row r="813" spans="1:22" x14ac:dyDescent="0.5">
      <c r="A813" s="3">
        <v>200</v>
      </c>
      <c r="B813" s="5">
        <v>1</v>
      </c>
      <c r="C813" s="3">
        <v>5</v>
      </c>
      <c r="D813" s="3">
        <v>35</v>
      </c>
      <c r="E813" s="3">
        <v>7.0000000000000007E-2</v>
      </c>
      <c r="F813" s="3">
        <f t="shared" si="163"/>
        <v>3.2944744252340157</v>
      </c>
      <c r="G813" s="5">
        <v>0.3</v>
      </c>
      <c r="H813" s="4">
        <v>30000000</v>
      </c>
      <c r="I813" s="4">
        <f t="shared" si="173"/>
        <v>30000000</v>
      </c>
      <c r="J813" s="3">
        <v>210000000000</v>
      </c>
      <c r="K813" s="4">
        <f t="shared" si="174"/>
        <v>8.2103800042042735E-2</v>
      </c>
      <c r="L813" s="6">
        <f t="shared" si="164"/>
        <v>2.8736330014714957</v>
      </c>
      <c r="M813" s="4">
        <f t="shared" si="165"/>
        <v>25150606.073408902</v>
      </c>
      <c r="N813" s="4">
        <f t="shared" si="166"/>
        <v>1531634714.868866</v>
      </c>
      <c r="O813" s="4">
        <f t="shared" si="167"/>
        <v>113605325170.27563</v>
      </c>
      <c r="P813" s="4">
        <f t="shared" si="168"/>
        <v>-9327428901.4915543</v>
      </c>
      <c r="Q813" s="4">
        <f t="shared" si="171"/>
        <v>0</v>
      </c>
      <c r="R813" s="4">
        <f t="shared" si="171"/>
        <v>0</v>
      </c>
      <c r="S813" s="4">
        <f t="shared" si="171"/>
        <v>0</v>
      </c>
      <c r="T813" s="3"/>
      <c r="U813" s="4">
        <f t="shared" si="169"/>
        <v>78000000</v>
      </c>
      <c r="V813">
        <f t="shared" si="170"/>
        <v>691839629299.14331</v>
      </c>
    </row>
    <row r="814" spans="1:22" x14ac:dyDescent="0.5">
      <c r="A814" s="3">
        <v>200</v>
      </c>
      <c r="B814" s="3">
        <v>0.99807938500000004</v>
      </c>
      <c r="C814" s="3">
        <v>5</v>
      </c>
      <c r="D814" s="3">
        <v>35</v>
      </c>
      <c r="E814" s="3">
        <v>7.0000000000000007E-2</v>
      </c>
      <c r="F814" s="3">
        <f t="shared" si="163"/>
        <v>3.2944744252340157</v>
      </c>
      <c r="G814" s="5">
        <v>0.3</v>
      </c>
      <c r="H814" s="4">
        <v>30000000</v>
      </c>
      <c r="I814" s="4">
        <f t="shared" si="173"/>
        <v>29942381.550000001</v>
      </c>
      <c r="J814" s="3">
        <v>210000000000</v>
      </c>
      <c r="K814" s="4">
        <f t="shared" si="174"/>
        <v>8.2103800042042735E-2</v>
      </c>
      <c r="L814" s="6">
        <f t="shared" si="164"/>
        <v>2.8736330014714957</v>
      </c>
      <c r="M814" s="4">
        <f t="shared" si="165"/>
        <v>25098280.246387109</v>
      </c>
      <c r="N814" s="4">
        <f t="shared" si="166"/>
        <v>1528448149.3874266</v>
      </c>
      <c r="O814" s="4">
        <f t="shared" si="167"/>
        <v>113368969331.52313</v>
      </c>
      <c r="P814" s="4">
        <f t="shared" si="168"/>
        <v>-9308023188.9678497</v>
      </c>
      <c r="Q814" s="4">
        <f t="shared" si="171"/>
        <v>3186565.481439352</v>
      </c>
      <c r="R814" s="4">
        <f t="shared" si="171"/>
        <v>236355838.75250244</v>
      </c>
      <c r="S814" s="4">
        <f t="shared" si="171"/>
        <v>-19405712.523704529</v>
      </c>
      <c r="T814" s="3"/>
      <c r="U814" s="4">
        <f t="shared" si="169"/>
        <v>77850192.030000001</v>
      </c>
      <c r="V814">
        <f t="shared" si="170"/>
        <v>691839629299.14331</v>
      </c>
    </row>
    <row r="815" spans="1:22" x14ac:dyDescent="0.5">
      <c r="A815" s="3">
        <v>200</v>
      </c>
      <c r="B815" s="3">
        <v>0.99615877100000005</v>
      </c>
      <c r="C815" s="3">
        <v>5</v>
      </c>
      <c r="D815" s="3">
        <v>35</v>
      </c>
      <c r="E815" s="3">
        <v>7.0000000000000007E-2</v>
      </c>
      <c r="F815" s="3">
        <f t="shared" si="163"/>
        <v>3.2944744252340157</v>
      </c>
      <c r="G815" s="5">
        <v>0.3</v>
      </c>
      <c r="H815" s="4">
        <v>30000000</v>
      </c>
      <c r="I815" s="4">
        <f t="shared" si="173"/>
        <v>29884763.130000003</v>
      </c>
      <c r="J815" s="3">
        <v>210000000000</v>
      </c>
      <c r="K815" s="4">
        <f t="shared" si="174"/>
        <v>8.2103800042042735E-2</v>
      </c>
      <c r="L815" s="6">
        <f t="shared" si="164"/>
        <v>2.8736330014714957</v>
      </c>
      <c r="M815" s="4">
        <f t="shared" si="165"/>
        <v>25045962.836865056</v>
      </c>
      <c r="N815" s="4">
        <f t="shared" si="166"/>
        <v>1525262096.519273</v>
      </c>
      <c r="O815" s="4">
        <f t="shared" si="167"/>
        <v>113132651514.62952</v>
      </c>
      <c r="P815" s="4">
        <f t="shared" si="168"/>
        <v>-9288620598.1832447</v>
      </c>
      <c r="Q815" s="4">
        <f t="shared" si="171"/>
        <v>3186052.8681535721</v>
      </c>
      <c r="R815" s="4">
        <f t="shared" si="171"/>
        <v>236317816.89361572</v>
      </c>
      <c r="S815" s="4">
        <f t="shared" si="171"/>
        <v>-19402590.784605026</v>
      </c>
      <c r="T815" s="3"/>
      <c r="U815" s="4">
        <f t="shared" si="169"/>
        <v>77700384.138000011</v>
      </c>
      <c r="V815">
        <f t="shared" si="170"/>
        <v>691839629299.14331</v>
      </c>
    </row>
    <row r="816" spans="1:22" x14ac:dyDescent="0.5">
      <c r="A816" s="3">
        <v>200</v>
      </c>
      <c r="B816" s="3">
        <v>0.992317542</v>
      </c>
      <c r="C816" s="3">
        <v>5</v>
      </c>
      <c r="D816" s="3">
        <v>35</v>
      </c>
      <c r="E816" s="3">
        <v>7.0000000000000007E-2</v>
      </c>
      <c r="F816" s="3">
        <f t="shared" si="163"/>
        <v>3.2944744252340157</v>
      </c>
      <c r="G816" s="5">
        <v>0.3</v>
      </c>
      <c r="H816" s="4">
        <v>30000000</v>
      </c>
      <c r="I816" s="4">
        <f t="shared" si="173"/>
        <v>29769526.260000002</v>
      </c>
      <c r="J816" s="3">
        <v>210000000000</v>
      </c>
      <c r="K816" s="4">
        <f t="shared" si="174"/>
        <v>8.2103800042042735E-2</v>
      </c>
      <c r="L816" s="6">
        <f t="shared" si="164"/>
        <v>2.8736330014714957</v>
      </c>
      <c r="M816" s="4">
        <f t="shared" si="165"/>
        <v>24941353.220716018</v>
      </c>
      <c r="N816" s="4">
        <f t="shared" si="166"/>
        <v>1518891525.6020031</v>
      </c>
      <c r="O816" s="4">
        <f t="shared" si="167"/>
        <v>112660129722.35692</v>
      </c>
      <c r="P816" s="4">
        <f t="shared" si="168"/>
        <v>-9249824763.434988</v>
      </c>
      <c r="Q816" s="4">
        <f t="shared" si="171"/>
        <v>6370570.9172699451</v>
      </c>
      <c r="R816" s="4">
        <f t="shared" si="171"/>
        <v>472521792.27259827</v>
      </c>
      <c r="S816" s="4">
        <f t="shared" si="171"/>
        <v>-38795834.748256683</v>
      </c>
      <c r="T816" s="3"/>
      <c r="U816" s="4">
        <f t="shared" si="169"/>
        <v>77400768.276000008</v>
      </c>
      <c r="V816">
        <f t="shared" si="170"/>
        <v>691839629299.14331</v>
      </c>
    </row>
    <row r="817" spans="1:22" x14ac:dyDescent="0.5">
      <c r="A817" s="3">
        <v>200</v>
      </c>
      <c r="B817" s="3">
        <v>0.98719590300000004</v>
      </c>
      <c r="C817" s="3">
        <v>5</v>
      </c>
      <c r="D817" s="3">
        <v>35</v>
      </c>
      <c r="E817" s="3">
        <v>7.0000000000000007E-2</v>
      </c>
      <c r="F817" s="3">
        <f t="shared" si="163"/>
        <v>3.2944744252340157</v>
      </c>
      <c r="G817" s="5">
        <v>0.3</v>
      </c>
      <c r="H817" s="4">
        <v>30000000</v>
      </c>
      <c r="I817" s="4">
        <f t="shared" si="173"/>
        <v>29615877.09</v>
      </c>
      <c r="J817" s="3">
        <v>210000000000</v>
      </c>
      <c r="K817" s="4">
        <f t="shared" si="174"/>
        <v>8.2103800042042735E-2</v>
      </c>
      <c r="L817" s="6">
        <f t="shared" si="164"/>
        <v>2.8736330014714957</v>
      </c>
      <c r="M817" s="4">
        <f t="shared" si="165"/>
        <v>24801926.22812669</v>
      </c>
      <c r="N817" s="4">
        <f t="shared" si="166"/>
        <v>1510400627.9506195</v>
      </c>
      <c r="O817" s="4">
        <f t="shared" si="167"/>
        <v>112030337788.73943</v>
      </c>
      <c r="P817" s="4">
        <f t="shared" si="168"/>
        <v>-9198116452.4491653</v>
      </c>
      <c r="Q817" s="4">
        <f t="shared" si="171"/>
        <v>8490897.6513836384</v>
      </c>
      <c r="R817" s="4">
        <f t="shared" si="171"/>
        <v>629791933.61749268</v>
      </c>
      <c r="S817" s="4">
        <f t="shared" si="171"/>
        <v>-51708310.985822678</v>
      </c>
      <c r="T817" s="3"/>
      <c r="U817" s="4">
        <f t="shared" si="169"/>
        <v>77001280.434</v>
      </c>
      <c r="V817">
        <f t="shared" si="170"/>
        <v>691839629299.14331</v>
      </c>
    </row>
    <row r="818" spans="1:22" x14ac:dyDescent="0.5">
      <c r="A818" s="3">
        <v>200</v>
      </c>
      <c r="B818" s="3">
        <v>0.98079385399999996</v>
      </c>
      <c r="C818" s="3">
        <v>5</v>
      </c>
      <c r="D818" s="3">
        <v>35</v>
      </c>
      <c r="E818" s="3">
        <v>7.0000000000000007E-2</v>
      </c>
      <c r="F818" s="3">
        <f t="shared" si="163"/>
        <v>3.2944744252340157</v>
      </c>
      <c r="G818" s="5">
        <v>0.3</v>
      </c>
      <c r="H818" s="4">
        <v>30000000</v>
      </c>
      <c r="I818" s="4">
        <f t="shared" si="173"/>
        <v>29423815.619999997</v>
      </c>
      <c r="J818" s="3">
        <v>210000000000</v>
      </c>
      <c r="K818" s="4">
        <f t="shared" si="174"/>
        <v>8.2103800042042735E-2</v>
      </c>
      <c r="L818" s="6">
        <f t="shared" si="164"/>
        <v>2.8736330014714957</v>
      </c>
      <c r="M818" s="4">
        <f t="shared" si="165"/>
        <v>24627727.264681984</v>
      </c>
      <c r="N818" s="4">
        <f t="shared" si="166"/>
        <v>1499792168.6980937</v>
      </c>
      <c r="O818" s="4">
        <f t="shared" si="167"/>
        <v>111243480810.87183</v>
      </c>
      <c r="P818" s="4">
        <f t="shared" si="168"/>
        <v>-9133512504.4766388</v>
      </c>
      <c r="Q818" s="4">
        <f t="shared" si="171"/>
        <v>10608459.252525806</v>
      </c>
      <c r="R818" s="4">
        <f t="shared" si="171"/>
        <v>786856977.86759949</v>
      </c>
      <c r="S818" s="4">
        <f t="shared" si="171"/>
        <v>-64603947.97252655</v>
      </c>
      <c r="T818" s="3"/>
      <c r="U818" s="4">
        <f t="shared" si="169"/>
        <v>76501920.611999989</v>
      </c>
      <c r="V818">
        <f t="shared" si="170"/>
        <v>691839629299.14331</v>
      </c>
    </row>
    <row r="819" spans="1:22" x14ac:dyDescent="0.5">
      <c r="A819" s="3">
        <v>200</v>
      </c>
      <c r="B819" s="3">
        <v>0.971190781</v>
      </c>
      <c r="C819" s="3">
        <v>5</v>
      </c>
      <c r="D819" s="3">
        <v>35</v>
      </c>
      <c r="E819" s="3">
        <v>7.0000000000000007E-2</v>
      </c>
      <c r="F819" s="3">
        <f t="shared" si="163"/>
        <v>3.2944744252340157</v>
      </c>
      <c r="G819" s="5">
        <v>0.3</v>
      </c>
      <c r="H819" s="4">
        <v>30000000</v>
      </c>
      <c r="I819" s="4">
        <f t="shared" si="173"/>
        <v>29135723.43</v>
      </c>
      <c r="J819" s="3">
        <v>210000000000</v>
      </c>
      <c r="K819" s="4">
        <f t="shared" si="174"/>
        <v>8.2103800042042735E-2</v>
      </c>
      <c r="L819" s="6">
        <f t="shared" si="164"/>
        <v>2.8736330014714957</v>
      </c>
      <c r="M819" s="4">
        <f t="shared" si="165"/>
        <v>24366606.631001659</v>
      </c>
      <c r="N819" s="4">
        <f t="shared" si="166"/>
        <v>1483890308.2758834</v>
      </c>
      <c r="O819" s="4">
        <f t="shared" si="167"/>
        <v>110063998518.8214</v>
      </c>
      <c r="P819" s="4">
        <f t="shared" si="168"/>
        <v>-9036672526.2169991</v>
      </c>
      <c r="Q819" s="4">
        <f t="shared" si="171"/>
        <v>15901860.422210217</v>
      </c>
      <c r="R819" s="4">
        <f t="shared" si="171"/>
        <v>1179482292.0504303</v>
      </c>
      <c r="S819" s="4">
        <f t="shared" si="171"/>
        <v>-96839978.25963974</v>
      </c>
      <c r="T819" s="3"/>
      <c r="U819" s="4">
        <f t="shared" si="169"/>
        <v>75752880.917999998</v>
      </c>
      <c r="V819">
        <f t="shared" si="170"/>
        <v>691839629299.14331</v>
      </c>
    </row>
    <row r="820" spans="1:22" x14ac:dyDescent="0.5">
      <c r="A820" s="3">
        <v>200</v>
      </c>
      <c r="B820" s="3">
        <v>0.96094750299999998</v>
      </c>
      <c r="C820" s="3">
        <v>5</v>
      </c>
      <c r="D820" s="3">
        <v>35</v>
      </c>
      <c r="E820" s="3">
        <v>7.0000000000000007E-2</v>
      </c>
      <c r="F820" s="3">
        <f t="shared" si="163"/>
        <v>3.2944744252340157</v>
      </c>
      <c r="G820" s="5">
        <v>0.3</v>
      </c>
      <c r="H820" s="4">
        <v>30000000</v>
      </c>
      <c r="I820" s="4">
        <f t="shared" si="173"/>
        <v>28828425.09</v>
      </c>
      <c r="J820" s="3">
        <v>210000000000</v>
      </c>
      <c r="K820" s="4">
        <f t="shared" si="174"/>
        <v>8.2103800042042735E-2</v>
      </c>
      <c r="L820" s="6">
        <f t="shared" si="164"/>
        <v>2.8736330014714957</v>
      </c>
      <c r="M820" s="4">
        <f t="shared" si="165"/>
        <v>24088315.061833419</v>
      </c>
      <c r="N820" s="4">
        <f t="shared" si="166"/>
        <v>1466942763.2763989</v>
      </c>
      <c r="O820" s="4">
        <f t="shared" si="167"/>
        <v>108806955085.54485</v>
      </c>
      <c r="P820" s="4">
        <f t="shared" si="168"/>
        <v>-8933464483.5270977</v>
      </c>
      <c r="Q820" s="4">
        <f t="shared" si="171"/>
        <v>16947544.999484539</v>
      </c>
      <c r="R820" s="4">
        <f t="shared" si="171"/>
        <v>1257043433.2765503</v>
      </c>
      <c r="S820" s="4">
        <f t="shared" si="171"/>
        <v>-103208042.68990135</v>
      </c>
      <c r="T820" s="3"/>
      <c r="U820" s="4">
        <f t="shared" si="169"/>
        <v>74953905.233999997</v>
      </c>
      <c r="V820">
        <f t="shared" si="170"/>
        <v>691839629299.14331</v>
      </c>
    </row>
    <row r="821" spans="1:22" x14ac:dyDescent="0.5">
      <c r="A821" s="3">
        <v>200</v>
      </c>
      <c r="B821" s="3">
        <v>0.95006402000000001</v>
      </c>
      <c r="C821" s="3">
        <v>5</v>
      </c>
      <c r="D821" s="3">
        <v>35</v>
      </c>
      <c r="E821" s="3">
        <v>7.0000000000000007E-2</v>
      </c>
      <c r="F821" s="3">
        <f t="shared" si="163"/>
        <v>3.2944744252340157</v>
      </c>
      <c r="G821" s="5">
        <v>0.3</v>
      </c>
      <c r="H821" s="4">
        <v>30000000</v>
      </c>
      <c r="I821" s="4">
        <f t="shared" si="173"/>
        <v>28501920.600000001</v>
      </c>
      <c r="J821" s="3">
        <v>210000000000</v>
      </c>
      <c r="K821" s="4">
        <f t="shared" si="174"/>
        <v>8.2103800042042735E-2</v>
      </c>
      <c r="L821" s="6">
        <f t="shared" si="164"/>
        <v>2.8736330014714957</v>
      </c>
      <c r="M821" s="4">
        <f t="shared" si="165"/>
        <v>23792901.070083149</v>
      </c>
      <c r="N821" s="4">
        <f t="shared" si="166"/>
        <v>1448952488.0638633</v>
      </c>
      <c r="O821" s="4">
        <f t="shared" si="167"/>
        <v>107472569643.91043</v>
      </c>
      <c r="P821" s="4">
        <f t="shared" si="168"/>
        <v>-8823906368.0481339</v>
      </c>
      <c r="Q821" s="4">
        <f t="shared" si="171"/>
        <v>17990275.21253562</v>
      </c>
      <c r="R821" s="4">
        <f t="shared" si="171"/>
        <v>1334385441.6344147</v>
      </c>
      <c r="S821" s="4">
        <f t="shared" si="171"/>
        <v>-109558115.47896385</v>
      </c>
      <c r="T821" s="3"/>
      <c r="U821" s="4">
        <f t="shared" si="169"/>
        <v>74104993.560000002</v>
      </c>
      <c r="V821">
        <f t="shared" si="170"/>
        <v>691839629299.14331</v>
      </c>
    </row>
    <row r="822" spans="1:22" x14ac:dyDescent="0.5">
      <c r="A822" s="3">
        <v>200</v>
      </c>
      <c r="B822" s="3">
        <v>0.93597951300000004</v>
      </c>
      <c r="C822" s="3">
        <v>5</v>
      </c>
      <c r="D822" s="3">
        <v>35</v>
      </c>
      <c r="E822" s="3">
        <v>7.0000000000000007E-2</v>
      </c>
      <c r="F822" s="3">
        <f t="shared" si="163"/>
        <v>3.2944744252340157</v>
      </c>
      <c r="G822" s="5">
        <v>0.3</v>
      </c>
      <c r="H822" s="4">
        <v>30000000</v>
      </c>
      <c r="I822" s="4">
        <f t="shared" si="173"/>
        <v>28079385.390000001</v>
      </c>
      <c r="J822" s="3">
        <v>210000000000</v>
      </c>
      <c r="K822" s="4">
        <f t="shared" si="174"/>
        <v>8.2103800042042735E-2</v>
      </c>
      <c r="L822" s="6">
        <f t="shared" si="164"/>
        <v>2.8736330014714957</v>
      </c>
      <c r="M822" s="4">
        <f t="shared" si="165"/>
        <v>23411019.488381956</v>
      </c>
      <c r="N822" s="4">
        <f t="shared" si="166"/>
        <v>1425696464.4994457</v>
      </c>
      <c r="O822" s="4">
        <f t="shared" si="167"/>
        <v>105747609969.41689</v>
      </c>
      <c r="P822" s="4">
        <f t="shared" si="168"/>
        <v>-8682280623.8529282</v>
      </c>
      <c r="Q822" s="4">
        <f t="shared" si="171"/>
        <v>23256023.564417601</v>
      </c>
      <c r="R822" s="4">
        <f t="shared" si="171"/>
        <v>1724959674.4935455</v>
      </c>
      <c r="S822" s="4">
        <f t="shared" si="171"/>
        <v>-141625744.19520569</v>
      </c>
      <c r="T822" s="3"/>
      <c r="U822" s="4">
        <f t="shared" si="169"/>
        <v>73006402.013999999</v>
      </c>
      <c r="V822">
        <f t="shared" si="170"/>
        <v>691839629299.14331</v>
      </c>
    </row>
    <row r="823" spans="1:22" x14ac:dyDescent="0.5">
      <c r="A823" s="3">
        <v>200</v>
      </c>
      <c r="B823" s="3">
        <v>0.91933418700000002</v>
      </c>
      <c r="C823" s="3">
        <v>5</v>
      </c>
      <c r="D823" s="3">
        <v>35</v>
      </c>
      <c r="E823" s="3">
        <v>7.0000000000000007E-2</v>
      </c>
      <c r="F823" s="3">
        <f t="shared" si="163"/>
        <v>3.2944744252340157</v>
      </c>
      <c r="G823" s="5">
        <v>0.3</v>
      </c>
      <c r="H823" s="4">
        <v>30000000</v>
      </c>
      <c r="I823" s="4">
        <f t="shared" si="173"/>
        <v>27580025.609999999</v>
      </c>
      <c r="J823" s="3">
        <v>210000000000</v>
      </c>
      <c r="K823" s="4">
        <f t="shared" si="174"/>
        <v>8.2103800042042735E-2</v>
      </c>
      <c r="L823" s="6">
        <f t="shared" si="164"/>
        <v>2.8736330014714957</v>
      </c>
      <c r="M823" s="4">
        <f t="shared" si="165"/>
        <v>22960322.453203738</v>
      </c>
      <c r="N823" s="4">
        <f t="shared" si="166"/>
        <v>1398249681.5888236</v>
      </c>
      <c r="O823" s="4">
        <f t="shared" si="167"/>
        <v>103711810788.86215</v>
      </c>
      <c r="P823" s="4">
        <f t="shared" si="168"/>
        <v>-8515133775.0069084</v>
      </c>
      <c r="Q823" s="4">
        <f t="shared" si="171"/>
        <v>27446782.91062212</v>
      </c>
      <c r="R823" s="4">
        <f t="shared" si="171"/>
        <v>2035799180.5547333</v>
      </c>
      <c r="S823" s="4">
        <f t="shared" si="171"/>
        <v>-167146848.84601974</v>
      </c>
      <c r="T823" s="3"/>
      <c r="U823" s="4">
        <f t="shared" si="169"/>
        <v>71708066.585999995</v>
      </c>
      <c r="V823">
        <f t="shared" si="170"/>
        <v>691839629299.14331</v>
      </c>
    </row>
    <row r="824" spans="1:22" x14ac:dyDescent="0.5">
      <c r="A824" s="3">
        <v>200</v>
      </c>
      <c r="B824" s="3">
        <v>0.90012804099999999</v>
      </c>
      <c r="C824" s="3">
        <v>5</v>
      </c>
      <c r="D824" s="3">
        <v>35</v>
      </c>
      <c r="E824" s="3">
        <v>7.0000000000000007E-2</v>
      </c>
      <c r="F824" s="3">
        <f t="shared" si="163"/>
        <v>3.2944744252340157</v>
      </c>
      <c r="G824" s="5">
        <v>0.3</v>
      </c>
      <c r="H824" s="4">
        <v>30000000</v>
      </c>
      <c r="I824" s="4">
        <f t="shared" si="173"/>
        <v>27003841.23</v>
      </c>
      <c r="J824" s="3">
        <v>210000000000</v>
      </c>
      <c r="K824" s="4">
        <f t="shared" si="174"/>
        <v>8.2103800042042735E-2</v>
      </c>
      <c r="L824" s="6">
        <f t="shared" si="164"/>
        <v>2.8736330014714957</v>
      </c>
      <c r="M824" s="4">
        <f t="shared" si="165"/>
        <v>22441132.525592979</v>
      </c>
      <c r="N824" s="4">
        <f t="shared" si="166"/>
        <v>1366631782.8225729</v>
      </c>
      <c r="O824" s="4">
        <f t="shared" si="167"/>
        <v>101366629110.96561</v>
      </c>
      <c r="P824" s="4">
        <f t="shared" si="168"/>
        <v>-8322585447.4626284</v>
      </c>
      <c r="Q824" s="4">
        <f t="shared" si="171"/>
        <v>31617898.76625061</v>
      </c>
      <c r="R824" s="4">
        <f t="shared" si="171"/>
        <v>2345181677.8965454</v>
      </c>
      <c r="S824" s="4">
        <f t="shared" si="171"/>
        <v>-192548327.54428005</v>
      </c>
      <c r="T824" s="3"/>
      <c r="U824" s="4">
        <f t="shared" si="169"/>
        <v>70209987.197999999</v>
      </c>
      <c r="V824">
        <f t="shared" si="170"/>
        <v>691839629299.14331</v>
      </c>
    </row>
    <row r="825" spans="1:22" x14ac:dyDescent="0.5">
      <c r="A825" s="3">
        <v>200</v>
      </c>
      <c r="B825" s="3">
        <v>0.87772087099999996</v>
      </c>
      <c r="C825" s="3">
        <v>5</v>
      </c>
      <c r="D825" s="3">
        <v>35</v>
      </c>
      <c r="E825" s="3">
        <v>7.0000000000000007E-2</v>
      </c>
      <c r="F825" s="3">
        <f t="shared" si="163"/>
        <v>3.2944744252340157</v>
      </c>
      <c r="G825" s="5">
        <v>0.3</v>
      </c>
      <c r="H825" s="4">
        <v>30000000</v>
      </c>
      <c r="I825" s="4">
        <f t="shared" si="173"/>
        <v>26331626.129999999</v>
      </c>
      <c r="J825" s="3">
        <v>210000000000</v>
      </c>
      <c r="K825" s="4">
        <f t="shared" si="174"/>
        <v>8.2103800042042735E-2</v>
      </c>
      <c r="L825" s="6">
        <f t="shared" si="164"/>
        <v>2.8736330014714957</v>
      </c>
      <c r="M825" s="4">
        <f t="shared" si="165"/>
        <v>21836578.064911339</v>
      </c>
      <c r="N825" s="4">
        <f t="shared" si="166"/>
        <v>1329815310.2371342</v>
      </c>
      <c r="O825" s="4">
        <f t="shared" si="167"/>
        <v>98635855709.78334</v>
      </c>
      <c r="P825" s="4">
        <f t="shared" si="168"/>
        <v>-8098378574.1718302</v>
      </c>
      <c r="Q825" s="4">
        <f t="shared" si="171"/>
        <v>36816472.585438728</v>
      </c>
      <c r="R825" s="4">
        <f t="shared" si="171"/>
        <v>2730773401.1822662</v>
      </c>
      <c r="S825" s="4">
        <f t="shared" si="171"/>
        <v>-224206873.29079819</v>
      </c>
      <c r="T825" s="3"/>
      <c r="U825" s="4">
        <f t="shared" si="169"/>
        <v>68462227.937999994</v>
      </c>
      <c r="V825">
        <f t="shared" si="170"/>
        <v>691839629299.14331</v>
      </c>
    </row>
    <row r="826" spans="1:22" x14ac:dyDescent="0.5">
      <c r="A826" s="3">
        <v>200</v>
      </c>
      <c r="B826" s="3">
        <v>0.85339308599999997</v>
      </c>
      <c r="C826" s="3">
        <v>5</v>
      </c>
      <c r="D826" s="3">
        <v>35</v>
      </c>
      <c r="E826" s="3">
        <v>7.0000000000000007E-2</v>
      </c>
      <c r="F826" s="3">
        <f t="shared" si="163"/>
        <v>3.2944744252340157</v>
      </c>
      <c r="G826" s="5">
        <v>0.3</v>
      </c>
      <c r="H826" s="4">
        <v>30000000</v>
      </c>
      <c r="I826" s="4">
        <f t="shared" si="173"/>
        <v>25601792.579999998</v>
      </c>
      <c r="J826" s="3">
        <v>210000000000</v>
      </c>
      <c r="K826" s="4">
        <f t="shared" si="174"/>
        <v>8.2103800042042735E-2</v>
      </c>
      <c r="L826" s="6">
        <f t="shared" si="164"/>
        <v>2.8736330014714957</v>
      </c>
      <c r="M826" s="4">
        <f t="shared" si="165"/>
        <v>21181660.442072481</v>
      </c>
      <c r="N826" s="4">
        <f t="shared" si="166"/>
        <v>1289931795.5579419</v>
      </c>
      <c r="O826" s="4">
        <f t="shared" si="167"/>
        <v>95677591829.971085</v>
      </c>
      <c r="P826" s="4">
        <f t="shared" si="168"/>
        <v>-7855493868.1121273</v>
      </c>
      <c r="Q826" s="4">
        <f t="shared" si="171"/>
        <v>39883514.679192305</v>
      </c>
      <c r="R826" s="4">
        <f t="shared" si="171"/>
        <v>2958263879.8122559</v>
      </c>
      <c r="S826" s="4">
        <f t="shared" si="171"/>
        <v>-242884706.05970287</v>
      </c>
      <c r="T826" s="3"/>
      <c r="U826" s="4">
        <f t="shared" si="169"/>
        <v>66564660.707999997</v>
      </c>
      <c r="V826">
        <f t="shared" si="170"/>
        <v>691839629299.14331</v>
      </c>
    </row>
    <row r="827" spans="1:22" x14ac:dyDescent="0.5">
      <c r="A827" s="3">
        <v>200</v>
      </c>
      <c r="B827" s="3">
        <v>0.82202304699999995</v>
      </c>
      <c r="C827" s="3">
        <v>5</v>
      </c>
      <c r="D827" s="3">
        <v>35</v>
      </c>
      <c r="E827" s="3">
        <v>7.0000000000000007E-2</v>
      </c>
      <c r="F827" s="3">
        <f t="shared" si="163"/>
        <v>3.2944744252340157</v>
      </c>
      <c r="G827" s="5">
        <v>0.3</v>
      </c>
      <c r="H827" s="4">
        <v>30000000</v>
      </c>
      <c r="I827" s="4">
        <f t="shared" si="173"/>
        <v>24660691.41</v>
      </c>
      <c r="J827" s="3">
        <v>210000000000</v>
      </c>
      <c r="K827" s="4">
        <f t="shared" si="174"/>
        <v>8.2103800042042735E-2</v>
      </c>
      <c r="L827" s="6">
        <f t="shared" si="164"/>
        <v>2.8736330014714957</v>
      </c>
      <c r="M827" s="4">
        <f t="shared" si="165"/>
        <v>20339461.407143973</v>
      </c>
      <c r="N827" s="4">
        <f t="shared" si="166"/>
        <v>1238643119.8512607</v>
      </c>
      <c r="O827" s="4">
        <f t="shared" si="167"/>
        <v>91873377532.236771</v>
      </c>
      <c r="P827" s="4">
        <f t="shared" si="168"/>
        <v>-7543153418.0938702</v>
      </c>
      <c r="Q827" s="4">
        <f t="shared" si="171"/>
        <v>51288675.706681252</v>
      </c>
      <c r="R827" s="4">
        <f t="shared" si="171"/>
        <v>3804214297.734314</v>
      </c>
      <c r="S827" s="4">
        <f t="shared" si="171"/>
        <v>-312340450.01825714</v>
      </c>
      <c r="T827" s="3"/>
      <c r="U827" s="4">
        <f t="shared" si="169"/>
        <v>64117797.666000001</v>
      </c>
      <c r="V827">
        <f t="shared" si="170"/>
        <v>691839629299.14331</v>
      </c>
    </row>
    <row r="828" spans="1:22" x14ac:dyDescent="0.5">
      <c r="A828" s="3">
        <v>200</v>
      </c>
      <c r="B828" s="3">
        <v>0.78745198500000002</v>
      </c>
      <c r="C828" s="3">
        <v>5</v>
      </c>
      <c r="D828" s="3">
        <v>35</v>
      </c>
      <c r="E828" s="3">
        <v>7.0000000000000007E-2</v>
      </c>
      <c r="F828" s="3">
        <f t="shared" si="163"/>
        <v>3.2944744252340157</v>
      </c>
      <c r="G828" s="5">
        <v>0.3</v>
      </c>
      <c r="H828" s="4">
        <v>30000000</v>
      </c>
      <c r="I828" s="4">
        <f t="shared" si="173"/>
        <v>23623559.550000001</v>
      </c>
      <c r="J828" s="3">
        <v>210000000000</v>
      </c>
      <c r="K828" s="4">
        <f t="shared" si="174"/>
        <v>8.2103800042042735E-2</v>
      </c>
      <c r="L828" s="6">
        <f t="shared" si="164"/>
        <v>2.8736330014714957</v>
      </c>
      <c r="M828" s="4">
        <f t="shared" si="165"/>
        <v>19414425.513164327</v>
      </c>
      <c r="N828" s="4">
        <f t="shared" si="166"/>
        <v>1182309801.9350395</v>
      </c>
      <c r="O828" s="4">
        <f t="shared" si="167"/>
        <v>87694989018.536407</v>
      </c>
      <c r="P828" s="4">
        <f t="shared" si="168"/>
        <v>-7200091843.0670462</v>
      </c>
      <c r="Q828" s="4">
        <f t="shared" si="171"/>
        <v>56333317.916221142</v>
      </c>
      <c r="R828" s="4">
        <f t="shared" si="171"/>
        <v>4178388513.7003632</v>
      </c>
      <c r="S828" s="4">
        <f t="shared" si="171"/>
        <v>-343061575.026824</v>
      </c>
      <c r="T828" s="3"/>
      <c r="U828" s="4">
        <f t="shared" si="169"/>
        <v>61421254.830000006</v>
      </c>
      <c r="V828">
        <f t="shared" si="170"/>
        <v>691839629299.14331</v>
      </c>
    </row>
    <row r="829" spans="1:22" x14ac:dyDescent="0.5">
      <c r="A829" s="3">
        <v>200</v>
      </c>
      <c r="B829" s="3">
        <v>0.74647887300000004</v>
      </c>
      <c r="C829" s="3">
        <v>5</v>
      </c>
      <c r="D829" s="3">
        <v>35</v>
      </c>
      <c r="E829" s="3">
        <v>7.0000000000000007E-2</v>
      </c>
      <c r="F829" s="3">
        <f t="shared" si="163"/>
        <v>3.2944744252340157</v>
      </c>
      <c r="G829" s="5">
        <v>0.3</v>
      </c>
      <c r="H829" s="4">
        <v>30000000</v>
      </c>
      <c r="I829" s="4">
        <f t="shared" si="173"/>
        <v>22394366.190000001</v>
      </c>
      <c r="J829" s="3">
        <v>210000000000</v>
      </c>
      <c r="K829" s="4">
        <f t="shared" si="174"/>
        <v>8.2103800042042735E-2</v>
      </c>
      <c r="L829" s="6">
        <f t="shared" si="164"/>
        <v>2.8736330014714957</v>
      </c>
      <c r="M829" s="4">
        <f t="shared" si="165"/>
        <v>18322473.511602692</v>
      </c>
      <c r="N829" s="4">
        <f t="shared" si="166"/>
        <v>1115811539.9177833</v>
      </c>
      <c r="O829" s="4">
        <f t="shared" si="167"/>
        <v>82762640197.769852</v>
      </c>
      <c r="P829" s="4">
        <f t="shared" si="168"/>
        <v>-6795127261.7492237</v>
      </c>
      <c r="Q829" s="4">
        <f t="shared" si="171"/>
        <v>66498262.01725626</v>
      </c>
      <c r="R829" s="4">
        <f t="shared" si="171"/>
        <v>4932348820.7665558</v>
      </c>
      <c r="S829" s="4">
        <f t="shared" si="171"/>
        <v>-404964581.31782246</v>
      </c>
      <c r="T829" s="3"/>
      <c r="U829" s="4">
        <f t="shared" si="169"/>
        <v>58225352.094000004</v>
      </c>
      <c r="V829">
        <f t="shared" si="170"/>
        <v>691839629299.14331</v>
      </c>
    </row>
    <row r="830" spans="1:22" x14ac:dyDescent="0.5">
      <c r="A830" s="3">
        <v>200</v>
      </c>
      <c r="B830" s="3">
        <v>0.70230473800000004</v>
      </c>
      <c r="C830" s="3">
        <v>5</v>
      </c>
      <c r="D830" s="3">
        <v>35</v>
      </c>
      <c r="E830" s="3">
        <v>7.0000000000000007E-2</v>
      </c>
      <c r="F830" s="3">
        <f t="shared" si="163"/>
        <v>3.2944744252340157</v>
      </c>
      <c r="G830" s="5">
        <v>0.3</v>
      </c>
      <c r="H830" s="4">
        <v>30000000</v>
      </c>
      <c r="I830" s="4">
        <f t="shared" si="173"/>
        <v>21069142.140000001</v>
      </c>
      <c r="J830" s="3">
        <v>210000000000</v>
      </c>
      <c r="K830" s="4">
        <f t="shared" si="174"/>
        <v>8.2103800042042735E-2</v>
      </c>
      <c r="L830" s="6">
        <f t="shared" si="164"/>
        <v>2.8736330014714957</v>
      </c>
      <c r="M830" s="4">
        <f t="shared" si="165"/>
        <v>17150805.42467013</v>
      </c>
      <c r="N830" s="4">
        <f t="shared" si="166"/>
        <v>1044458686.1928284</v>
      </c>
      <c r="O830" s="4">
        <f t="shared" si="167"/>
        <v>77470213700.408417</v>
      </c>
      <c r="P830" s="4">
        <f t="shared" si="168"/>
        <v>-6360598934.8726521</v>
      </c>
      <c r="Q830" s="4">
        <f t="shared" si="171"/>
        <v>71352853.724954844</v>
      </c>
      <c r="R830" s="4">
        <f t="shared" si="171"/>
        <v>5292426497.3614349</v>
      </c>
      <c r="S830" s="4">
        <f t="shared" si="171"/>
        <v>-434528326.87657166</v>
      </c>
      <c r="T830" s="3"/>
      <c r="U830" s="4">
        <f t="shared" si="169"/>
        <v>54779769.564000003</v>
      </c>
      <c r="V830">
        <f t="shared" si="170"/>
        <v>691839629299.14331</v>
      </c>
    </row>
    <row r="831" spans="1:22" x14ac:dyDescent="0.5">
      <c r="A831" s="3">
        <v>200</v>
      </c>
      <c r="B831" s="3">
        <v>0.65492957699999998</v>
      </c>
      <c r="C831" s="3">
        <v>5</v>
      </c>
      <c r="D831" s="3">
        <v>35</v>
      </c>
      <c r="E831" s="3">
        <v>7.0000000000000007E-2</v>
      </c>
      <c r="F831" s="3">
        <f t="shared" si="163"/>
        <v>3.2944744252340157</v>
      </c>
      <c r="G831" s="5">
        <v>0.3</v>
      </c>
      <c r="H831" s="4">
        <v>30000000</v>
      </c>
      <c r="I831" s="4">
        <f t="shared" si="173"/>
        <v>19647887.309999999</v>
      </c>
      <c r="J831" s="3">
        <v>210000000000</v>
      </c>
      <c r="K831" s="4">
        <f t="shared" si="174"/>
        <v>8.2103800042042735E-2</v>
      </c>
      <c r="L831" s="6">
        <f t="shared" si="164"/>
        <v>2.8736330014714957</v>
      </c>
      <c r="M831" s="4">
        <f t="shared" si="165"/>
        <v>15901055.102635108</v>
      </c>
      <c r="N831" s="4">
        <f t="shared" si="166"/>
        <v>968350739.8252387</v>
      </c>
      <c r="O831" s="4">
        <f t="shared" si="167"/>
        <v>71825089630.553284</v>
      </c>
      <c r="P831" s="4">
        <f t="shared" si="168"/>
        <v>-5897112797.0287437</v>
      </c>
      <c r="Q831" s="4">
        <f t="shared" si="171"/>
        <v>76107946.367589712</v>
      </c>
      <c r="R831" s="4">
        <f t="shared" si="171"/>
        <v>5645124069.8551331</v>
      </c>
      <c r="S831" s="4">
        <f t="shared" si="171"/>
        <v>-463486137.84390831</v>
      </c>
      <c r="T831" s="3"/>
      <c r="U831" s="4">
        <f t="shared" si="169"/>
        <v>51084507.005999997</v>
      </c>
      <c r="V831">
        <f t="shared" si="170"/>
        <v>691839629299.14331</v>
      </c>
    </row>
    <row r="832" spans="1:22" x14ac:dyDescent="0.5">
      <c r="A832" s="3">
        <v>200</v>
      </c>
      <c r="B832" s="3">
        <v>0.60051216399999996</v>
      </c>
      <c r="C832" s="3">
        <v>5</v>
      </c>
      <c r="D832" s="3">
        <v>35</v>
      </c>
      <c r="E832" s="3">
        <v>7.0000000000000007E-2</v>
      </c>
      <c r="F832" s="3">
        <f t="shared" si="163"/>
        <v>3.2944744252340157</v>
      </c>
      <c r="G832" s="5">
        <v>0.3</v>
      </c>
      <c r="H832" s="4">
        <v>30000000</v>
      </c>
      <c r="I832" s="4">
        <f t="shared" si="173"/>
        <v>18015364.919999998</v>
      </c>
      <c r="J832" s="3">
        <v>210000000000</v>
      </c>
      <c r="K832" s="4">
        <f t="shared" si="174"/>
        <v>8.2103800042042735E-2</v>
      </c>
      <c r="L832" s="6">
        <f t="shared" si="164"/>
        <v>2.8736330014714957</v>
      </c>
      <c r="M832" s="4">
        <f t="shared" si="165"/>
        <v>14474839.205265557</v>
      </c>
      <c r="N832" s="4">
        <f t="shared" si="166"/>
        <v>881496300.89310455</v>
      </c>
      <c r="O832" s="4">
        <f t="shared" si="167"/>
        <v>65382870293.541359</v>
      </c>
      <c r="P832" s="4">
        <f t="shared" si="168"/>
        <v>-5368182108.7557354</v>
      </c>
      <c r="Q832" s="4">
        <f t="shared" si="171"/>
        <v>86854438.932134151</v>
      </c>
      <c r="R832" s="4">
        <f t="shared" si="171"/>
        <v>6442219337.0119247</v>
      </c>
      <c r="S832" s="4">
        <f t="shared" si="171"/>
        <v>-528930688.27300835</v>
      </c>
      <c r="T832" s="3"/>
      <c r="U832" s="4">
        <f t="shared" si="169"/>
        <v>46839948.791999996</v>
      </c>
      <c r="V832">
        <f t="shared" si="170"/>
        <v>691839629299.14331</v>
      </c>
    </row>
    <row r="833" spans="1:22" x14ac:dyDescent="0.5">
      <c r="A833" s="3">
        <v>200</v>
      </c>
      <c r="B833" s="3">
        <v>0.53521126799999996</v>
      </c>
      <c r="C833" s="3">
        <v>5</v>
      </c>
      <c r="D833" s="3">
        <v>35</v>
      </c>
      <c r="E833" s="3">
        <v>7.0000000000000007E-2</v>
      </c>
      <c r="F833" s="3">
        <f t="shared" si="163"/>
        <v>3.2944744252340157</v>
      </c>
      <c r="G833" s="5">
        <v>0.3</v>
      </c>
      <c r="H833" s="4">
        <v>30000000</v>
      </c>
      <c r="I833" s="4">
        <f t="shared" si="173"/>
        <v>16056338.039999999</v>
      </c>
      <c r="J833" s="3">
        <v>210000000000</v>
      </c>
      <c r="K833" s="4">
        <f t="shared" si="174"/>
        <v>8.2103800042042735E-2</v>
      </c>
      <c r="L833" s="6">
        <f t="shared" si="164"/>
        <v>2.8736330014714957</v>
      </c>
      <c r="M833" s="4">
        <f t="shared" si="165"/>
        <v>12777644.684477931</v>
      </c>
      <c r="N833" s="4">
        <f t="shared" si="166"/>
        <v>778139664.54262209</v>
      </c>
      <c r="O833" s="4">
        <f t="shared" si="167"/>
        <v>57716640110.120773</v>
      </c>
      <c r="P833" s="4">
        <f t="shared" si="168"/>
        <v>-4738755478.6998997</v>
      </c>
      <c r="Q833" s="4">
        <f t="shared" si="171"/>
        <v>103356636.35048246</v>
      </c>
      <c r="R833" s="4">
        <f t="shared" si="171"/>
        <v>7666230183.4205856</v>
      </c>
      <c r="S833" s="4">
        <f t="shared" si="171"/>
        <v>-629426630.05583572</v>
      </c>
      <c r="T833" s="3"/>
      <c r="U833" s="4">
        <f t="shared" si="169"/>
        <v>41746478.903999999</v>
      </c>
      <c r="V833">
        <f t="shared" si="170"/>
        <v>691839629299.14331</v>
      </c>
    </row>
    <row r="834" spans="1:22" x14ac:dyDescent="0.5">
      <c r="A834" s="3">
        <v>200</v>
      </c>
      <c r="B834" s="3">
        <v>0.47503201</v>
      </c>
      <c r="C834" s="3">
        <v>5</v>
      </c>
      <c r="D834" s="3">
        <v>35</v>
      </c>
      <c r="E834" s="3">
        <v>7.0000000000000007E-2</v>
      </c>
      <c r="F834" s="3">
        <f t="shared" si="163"/>
        <v>3.2944744252340157</v>
      </c>
      <c r="G834" s="5">
        <v>0.3</v>
      </c>
      <c r="H834" s="4">
        <v>30000000</v>
      </c>
      <c r="I834" s="4">
        <f t="shared" si="173"/>
        <v>14250960.300000001</v>
      </c>
      <c r="J834" s="3">
        <v>210000000000</v>
      </c>
      <c r="K834" s="4">
        <f t="shared" si="174"/>
        <v>8.2103800042042735E-2</v>
      </c>
      <c r="L834" s="6">
        <f t="shared" si="164"/>
        <v>2.8736330014714957</v>
      </c>
      <c r="M834" s="4">
        <f t="shared" si="165"/>
        <v>11228754.072114129</v>
      </c>
      <c r="N834" s="4">
        <f t="shared" si="166"/>
        <v>683814516.88985419</v>
      </c>
      <c r="O834" s="4">
        <f t="shared" si="167"/>
        <v>50720298902.390694</v>
      </c>
      <c r="P834" s="4">
        <f t="shared" si="168"/>
        <v>-4164329279.1545248</v>
      </c>
      <c r="Q834" s="4">
        <f t="shared" si="171"/>
        <v>94325147.652767897</v>
      </c>
      <c r="R834" s="4">
        <f t="shared" si="171"/>
        <v>6996341207.7300797</v>
      </c>
      <c r="S834" s="4">
        <f t="shared" si="171"/>
        <v>-574426199.54537487</v>
      </c>
      <c r="T834" s="3"/>
      <c r="U834" s="4">
        <f t="shared" si="169"/>
        <v>37052496.780000001</v>
      </c>
      <c r="V834">
        <f t="shared" si="170"/>
        <v>691839629299.14331</v>
      </c>
    </row>
    <row r="835" spans="1:22" x14ac:dyDescent="0.5">
      <c r="A835" s="3">
        <v>200</v>
      </c>
      <c r="B835" s="3">
        <v>0.40332906499999999</v>
      </c>
      <c r="C835" s="3">
        <v>5</v>
      </c>
      <c r="D835" s="3">
        <v>35</v>
      </c>
      <c r="E835" s="3">
        <v>7.0000000000000007E-2</v>
      </c>
      <c r="F835" s="3">
        <f t="shared" ref="F835:F837" si="175">(3.141592*((C835^4)-(C835-(2*E835))^4))/64</f>
        <v>3.2944744252340157</v>
      </c>
      <c r="G835" s="5">
        <v>0.3</v>
      </c>
      <c r="H835" s="4">
        <v>30000000</v>
      </c>
      <c r="I835" s="4">
        <f t="shared" si="173"/>
        <v>12099871.949999999</v>
      </c>
      <c r="J835" s="3">
        <v>210000000000</v>
      </c>
      <c r="K835" s="4">
        <f t="shared" si="174"/>
        <v>8.2103800042042735E-2</v>
      </c>
      <c r="L835" s="6">
        <f t="shared" ref="L835:L837" si="176">K835*D835</f>
        <v>2.8736330014714957</v>
      </c>
      <c r="M835" s="4">
        <f t="shared" ref="M835:M837" si="177">(0.65/C835)*(((2*U835*(1+G835)*C835^4)/(J835*F835))^(1/12))*((2*U835*(1+G835))/(1-G835^2))</f>
        <v>9404728.6142567582</v>
      </c>
      <c r="N835" s="4">
        <f t="shared" ref="N835:N837" si="178">IF(L835&gt;=2.5,M835*C835/K835,M835*C835*D835)</f>
        <v>572734064.04093945</v>
      </c>
      <c r="O835" s="4">
        <f t="shared" ref="O835:O837" si="179">IF(L835&gt;=2.5,M835*C835/(2*K835^3),M835*C835*(D835^3)/3)</f>
        <v>42481173186.933884</v>
      </c>
      <c r="P835" s="4">
        <f t="shared" ref="P835:P837" si="180">IF(L835&gt;=2.5,-(M835*C835/(2*K835^2)),-(M835*C835*(D835^2)/2))</f>
        <v>-3487865748.8914065</v>
      </c>
      <c r="Q835" s="4">
        <f t="shared" si="171"/>
        <v>111080452.84891474</v>
      </c>
      <c r="R835" s="4">
        <f t="shared" si="171"/>
        <v>8239125715.45681</v>
      </c>
      <c r="S835" s="4">
        <f t="shared" si="171"/>
        <v>-676463530.26311827</v>
      </c>
      <c r="T835" s="3"/>
      <c r="U835" s="4">
        <f t="shared" ref="U835:U837" si="181">2*I835*(G835+1)</f>
        <v>31459667.07</v>
      </c>
      <c r="V835">
        <f t="shared" ref="V835:V837" si="182">J835*F835</f>
        <v>691839629299.14331</v>
      </c>
    </row>
    <row r="836" spans="1:22" x14ac:dyDescent="0.5">
      <c r="A836" s="3">
        <v>200</v>
      </c>
      <c r="B836" s="3">
        <v>0.346350832</v>
      </c>
      <c r="C836" s="3">
        <v>5</v>
      </c>
      <c r="D836" s="3">
        <v>35</v>
      </c>
      <c r="E836" s="3">
        <v>7.0000000000000007E-2</v>
      </c>
      <c r="F836" s="3">
        <f t="shared" si="175"/>
        <v>3.2944744252340157</v>
      </c>
      <c r="G836" s="5">
        <v>0.3</v>
      </c>
      <c r="H836" s="4">
        <v>30000000</v>
      </c>
      <c r="I836" s="4">
        <f t="shared" si="173"/>
        <v>10390524.959999999</v>
      </c>
      <c r="J836" s="3">
        <v>210000000000</v>
      </c>
      <c r="K836" s="4">
        <f t="shared" si="174"/>
        <v>8.2103800042042735E-2</v>
      </c>
      <c r="L836" s="6">
        <f t="shared" si="176"/>
        <v>2.8736330014714957</v>
      </c>
      <c r="M836" s="4">
        <f t="shared" si="177"/>
        <v>7974271.9629065953</v>
      </c>
      <c r="N836" s="4">
        <f t="shared" si="178"/>
        <v>485621369.46299845</v>
      </c>
      <c r="O836" s="4">
        <f t="shared" si="179"/>
        <v>36019798357.86232</v>
      </c>
      <c r="P836" s="4">
        <f t="shared" si="180"/>
        <v>-2957362321.928627</v>
      </c>
      <c r="Q836" s="4">
        <f t="shared" ref="Q836:S837" si="183">N835-N836</f>
        <v>87112694.577941</v>
      </c>
      <c r="R836" s="4">
        <f t="shared" si="183"/>
        <v>6461374829.0715637</v>
      </c>
      <c r="S836" s="4">
        <f t="shared" si="183"/>
        <v>-530503426.96277952</v>
      </c>
      <c r="T836" s="3"/>
      <c r="U836" s="4">
        <f t="shared" si="181"/>
        <v>27015364.895999998</v>
      </c>
      <c r="V836">
        <f t="shared" si="182"/>
        <v>691839629299.14331</v>
      </c>
    </row>
    <row r="837" spans="1:22" x14ac:dyDescent="0.5">
      <c r="A837" s="3">
        <v>200</v>
      </c>
      <c r="B837" s="3">
        <v>0.28745198500000002</v>
      </c>
      <c r="C837" s="3">
        <v>5</v>
      </c>
      <c r="D837" s="3">
        <v>35</v>
      </c>
      <c r="E837" s="3">
        <v>7.0000000000000007E-2</v>
      </c>
      <c r="F837" s="3">
        <f t="shared" si="175"/>
        <v>3.2944744252340157</v>
      </c>
      <c r="G837" s="5">
        <v>0.3</v>
      </c>
      <c r="H837" s="4">
        <v>30000000</v>
      </c>
      <c r="I837" s="4">
        <f t="shared" si="173"/>
        <v>8623559.5500000007</v>
      </c>
      <c r="J837" s="3">
        <v>210000000000</v>
      </c>
      <c r="K837" s="4">
        <f t="shared" si="174"/>
        <v>8.2103800042042735E-2</v>
      </c>
      <c r="L837" s="6">
        <f t="shared" si="176"/>
        <v>2.8736330014714957</v>
      </c>
      <c r="M837" s="4">
        <f t="shared" si="177"/>
        <v>6516197.0621866165</v>
      </c>
      <c r="N837" s="4">
        <f t="shared" si="178"/>
        <v>396826764.34281242</v>
      </c>
      <c r="O837" s="4">
        <f t="shared" si="179"/>
        <v>29433671855.167698</v>
      </c>
      <c r="P837" s="4">
        <f t="shared" si="180"/>
        <v>-2416616308.4997897</v>
      </c>
      <c r="Q837" s="4">
        <f t="shared" si="183"/>
        <v>88794605.120186031</v>
      </c>
      <c r="R837" s="4">
        <f t="shared" si="183"/>
        <v>6586126502.694622</v>
      </c>
      <c r="S837" s="4">
        <f t="shared" si="183"/>
        <v>-540746013.4288373</v>
      </c>
      <c r="T837" s="3"/>
      <c r="U837" s="4">
        <f t="shared" si="181"/>
        <v>22421254.830000002</v>
      </c>
      <c r="V837">
        <f t="shared" si="182"/>
        <v>691839629299.14331</v>
      </c>
    </row>
    <row r="838" spans="1:22" x14ac:dyDescent="0.5">
      <c r="F838" s="1"/>
      <c r="H838" s="2"/>
    </row>
    <row r="839" spans="1:22" x14ac:dyDescent="0.5">
      <c r="F839" s="1"/>
      <c r="H839" s="2"/>
    </row>
    <row r="840" spans="1:22" x14ac:dyDescent="0.5">
      <c r="F840" s="1"/>
      <c r="H840" s="2"/>
    </row>
    <row r="841" spans="1:22" x14ac:dyDescent="0.5">
      <c r="F841" s="1"/>
      <c r="H841" s="2"/>
    </row>
    <row r="842" spans="1:22" x14ac:dyDescent="0.5">
      <c r="F842" s="1"/>
      <c r="H842" s="2"/>
    </row>
    <row r="843" spans="1:22" x14ac:dyDescent="0.5">
      <c r="F843" s="1"/>
      <c r="H843" s="2"/>
    </row>
    <row r="844" spans="1:22" x14ac:dyDescent="0.5">
      <c r="F844" s="1"/>
      <c r="H844" s="2"/>
    </row>
    <row r="845" spans="1:22" x14ac:dyDescent="0.5">
      <c r="F845" s="1"/>
      <c r="H845" s="2"/>
    </row>
    <row r="846" spans="1:22" x14ac:dyDescent="0.5">
      <c r="F846" s="1"/>
      <c r="H846" s="2"/>
    </row>
    <row r="847" spans="1:22" x14ac:dyDescent="0.5">
      <c r="F847" s="1"/>
      <c r="H847" s="2"/>
    </row>
    <row r="848" spans="1:22" x14ac:dyDescent="0.5">
      <c r="F848" s="1"/>
      <c r="H848" s="2"/>
    </row>
    <row r="849" spans="6:8" x14ac:dyDescent="0.5">
      <c r="F849" s="1"/>
      <c r="H849" s="2"/>
    </row>
    <row r="850" spans="6:8" x14ac:dyDescent="0.5">
      <c r="F850" s="1"/>
      <c r="H850" s="2"/>
    </row>
    <row r="851" spans="6:8" x14ac:dyDescent="0.5">
      <c r="F851" s="1"/>
      <c r="H851" s="2"/>
    </row>
    <row r="852" spans="6:8" x14ac:dyDescent="0.5">
      <c r="F852" s="1"/>
      <c r="H852" s="2"/>
    </row>
    <row r="853" spans="6:8" x14ac:dyDescent="0.5">
      <c r="F853" s="1"/>
      <c r="H853" s="2"/>
    </row>
    <row r="854" spans="6:8" x14ac:dyDescent="0.5">
      <c r="F854" s="1"/>
      <c r="H854" s="2"/>
    </row>
    <row r="855" spans="6:8" x14ac:dyDescent="0.5">
      <c r="F855" s="1"/>
      <c r="H855" s="2"/>
    </row>
    <row r="856" spans="6:8" x14ac:dyDescent="0.5">
      <c r="F856" s="1"/>
      <c r="H856" s="2"/>
    </row>
    <row r="857" spans="6:8" x14ac:dyDescent="0.5">
      <c r="F857" s="1"/>
      <c r="H857" s="2"/>
    </row>
    <row r="858" spans="6:8" x14ac:dyDescent="0.5">
      <c r="F858" s="1"/>
      <c r="H858" s="2"/>
    </row>
    <row r="859" spans="6:8" x14ac:dyDescent="0.5">
      <c r="F859" s="1"/>
      <c r="H859" s="2"/>
    </row>
    <row r="860" spans="6:8" x14ac:dyDescent="0.5">
      <c r="F860" s="1"/>
      <c r="H860" s="2"/>
    </row>
    <row r="861" spans="6:8" x14ac:dyDescent="0.5">
      <c r="F861" s="1"/>
      <c r="H861" s="2"/>
    </row>
    <row r="862" spans="6:8" x14ac:dyDescent="0.5">
      <c r="F862" s="1"/>
      <c r="H862" s="2"/>
    </row>
    <row r="863" spans="6:8" x14ac:dyDescent="0.5">
      <c r="F863" s="1"/>
      <c r="H863" s="2"/>
    </row>
    <row r="864" spans="6:8" x14ac:dyDescent="0.5">
      <c r="F864" s="1"/>
      <c r="H864" s="2"/>
    </row>
    <row r="865" spans="6:8" x14ac:dyDescent="0.5">
      <c r="F865" s="1"/>
      <c r="H865" s="2"/>
    </row>
    <row r="866" spans="6:8" x14ac:dyDescent="0.5">
      <c r="F866" s="1"/>
      <c r="H866" s="2"/>
    </row>
    <row r="867" spans="6:8" x14ac:dyDescent="0.5">
      <c r="F867" s="1"/>
      <c r="H867" s="2"/>
    </row>
    <row r="868" spans="6:8" x14ac:dyDescent="0.5">
      <c r="F868" s="1"/>
      <c r="H868" s="2"/>
    </row>
    <row r="869" spans="6:8" x14ac:dyDescent="0.5">
      <c r="F869" s="1"/>
      <c r="H869" s="2"/>
    </row>
    <row r="870" spans="6:8" x14ac:dyDescent="0.5">
      <c r="F870" s="1"/>
      <c r="H870" s="2"/>
    </row>
    <row r="871" spans="6:8" x14ac:dyDescent="0.5">
      <c r="F871" s="1"/>
      <c r="H871" s="2"/>
    </row>
    <row r="872" spans="6:8" x14ac:dyDescent="0.5">
      <c r="F872" s="1"/>
      <c r="H872" s="2"/>
    </row>
    <row r="873" spans="6:8" x14ac:dyDescent="0.5">
      <c r="F873" s="1"/>
      <c r="H873" s="2"/>
    </row>
    <row r="874" spans="6:8" x14ac:dyDescent="0.5">
      <c r="F874" s="1"/>
      <c r="H874" s="2"/>
    </row>
    <row r="875" spans="6:8" x14ac:dyDescent="0.5">
      <c r="F875" s="1"/>
      <c r="H875" s="2"/>
    </row>
    <row r="876" spans="6:8" x14ac:dyDescent="0.5">
      <c r="F876" s="1"/>
      <c r="H876" s="2"/>
    </row>
    <row r="877" spans="6:8" x14ac:dyDescent="0.5">
      <c r="F877" s="1"/>
      <c r="H877" s="2"/>
    </row>
    <row r="878" spans="6:8" x14ac:dyDescent="0.5">
      <c r="F878" s="1"/>
      <c r="H878" s="2"/>
    </row>
    <row r="879" spans="6:8" x14ac:dyDescent="0.5">
      <c r="F879" s="1"/>
      <c r="H879" s="2"/>
    </row>
    <row r="880" spans="6:8" x14ac:dyDescent="0.5">
      <c r="F880" s="1"/>
      <c r="H880" s="2"/>
    </row>
    <row r="881" spans="6:8" x14ac:dyDescent="0.5">
      <c r="F881" s="1"/>
      <c r="H881" s="2"/>
    </row>
    <row r="882" spans="6:8" x14ac:dyDescent="0.5">
      <c r="F882" s="1"/>
      <c r="H882" s="2"/>
    </row>
    <row r="883" spans="6:8" x14ac:dyDescent="0.5">
      <c r="F883" s="1"/>
      <c r="H883" s="2"/>
    </row>
    <row r="884" spans="6:8" x14ac:dyDescent="0.5">
      <c r="F884" s="1"/>
      <c r="H884" s="2"/>
    </row>
    <row r="885" spans="6:8" x14ac:dyDescent="0.5">
      <c r="F885" s="1"/>
      <c r="H885" s="2"/>
    </row>
    <row r="886" spans="6:8" x14ac:dyDescent="0.5">
      <c r="F886" s="1"/>
      <c r="H886" s="2"/>
    </row>
    <row r="887" spans="6:8" x14ac:dyDescent="0.5">
      <c r="F887" s="1"/>
      <c r="H887" s="2"/>
    </row>
    <row r="888" spans="6:8" x14ac:dyDescent="0.5">
      <c r="F888" s="1"/>
      <c r="H888" s="2"/>
    </row>
    <row r="889" spans="6:8" x14ac:dyDescent="0.5">
      <c r="F889" s="1"/>
      <c r="H889" s="2"/>
    </row>
    <row r="890" spans="6:8" x14ac:dyDescent="0.5">
      <c r="F890" s="1"/>
      <c r="H890" s="2"/>
    </row>
    <row r="891" spans="6:8" x14ac:dyDescent="0.5">
      <c r="F891" s="1"/>
      <c r="H891" s="2"/>
    </row>
    <row r="892" spans="6:8" x14ac:dyDescent="0.5">
      <c r="F892" s="1"/>
      <c r="H892" s="2"/>
    </row>
    <row r="893" spans="6:8" x14ac:dyDescent="0.5">
      <c r="F893" s="1"/>
      <c r="H893" s="2"/>
    </row>
    <row r="894" spans="6:8" x14ac:dyDescent="0.5">
      <c r="F894" s="1"/>
      <c r="H894" s="2"/>
    </row>
    <row r="895" spans="6:8" x14ac:dyDescent="0.5">
      <c r="F895" s="1"/>
      <c r="H895" s="2"/>
    </row>
    <row r="896" spans="6:8" x14ac:dyDescent="0.5">
      <c r="F896" s="1"/>
      <c r="H896" s="2"/>
    </row>
    <row r="897" spans="6:8" x14ac:dyDescent="0.5">
      <c r="F897" s="1"/>
      <c r="H897" s="2"/>
    </row>
    <row r="898" spans="6:8" x14ac:dyDescent="0.5">
      <c r="F898" s="1"/>
      <c r="H898" s="2"/>
    </row>
    <row r="899" spans="6:8" x14ac:dyDescent="0.5">
      <c r="F899" s="1"/>
      <c r="H899" s="2"/>
    </row>
    <row r="900" spans="6:8" x14ac:dyDescent="0.5">
      <c r="F900" s="1"/>
      <c r="H900" s="2"/>
    </row>
    <row r="901" spans="6:8" x14ac:dyDescent="0.5">
      <c r="F901" s="1"/>
      <c r="H901" s="2"/>
    </row>
    <row r="902" spans="6:8" x14ac:dyDescent="0.5">
      <c r="F902" s="1"/>
      <c r="H902" s="2"/>
    </row>
    <row r="903" spans="6:8" x14ac:dyDescent="0.5">
      <c r="F903" s="1"/>
      <c r="H903" s="2"/>
    </row>
    <row r="904" spans="6:8" x14ac:dyDescent="0.5">
      <c r="F904" s="1"/>
      <c r="H904" s="2"/>
    </row>
    <row r="905" spans="6:8" x14ac:dyDescent="0.5">
      <c r="F905" s="1"/>
      <c r="H905" s="2"/>
    </row>
    <row r="906" spans="6:8" x14ac:dyDescent="0.5">
      <c r="F906" s="1"/>
      <c r="H906" s="2"/>
    </row>
    <row r="907" spans="6:8" x14ac:dyDescent="0.5">
      <c r="F907" s="1"/>
      <c r="H907" s="2"/>
    </row>
    <row r="908" spans="6:8" x14ac:dyDescent="0.5">
      <c r="F908" s="1"/>
      <c r="H908" s="2"/>
    </row>
    <row r="909" spans="6:8" x14ac:dyDescent="0.5">
      <c r="F909" s="1"/>
      <c r="H909" s="2"/>
    </row>
    <row r="910" spans="6:8" x14ac:dyDescent="0.5">
      <c r="F910" s="1"/>
      <c r="H910" s="2"/>
    </row>
    <row r="911" spans="6:8" x14ac:dyDescent="0.5">
      <c r="F911" s="1"/>
      <c r="H911" s="2"/>
    </row>
    <row r="912" spans="6:8" x14ac:dyDescent="0.5">
      <c r="F912" s="1"/>
      <c r="H912" s="2"/>
    </row>
    <row r="913" spans="6:8" x14ac:dyDescent="0.5">
      <c r="F913" s="1"/>
      <c r="H913" s="2"/>
    </row>
    <row r="914" spans="6:8" x14ac:dyDescent="0.5">
      <c r="F914" s="1"/>
      <c r="H914" s="2"/>
    </row>
    <row r="915" spans="6:8" x14ac:dyDescent="0.5">
      <c r="F915" s="1"/>
      <c r="H915" s="2"/>
    </row>
    <row r="916" spans="6:8" x14ac:dyDescent="0.5">
      <c r="F916" s="1"/>
      <c r="H916" s="2"/>
    </row>
    <row r="917" spans="6:8" x14ac:dyDescent="0.5">
      <c r="F917" s="1"/>
      <c r="H917" s="2"/>
    </row>
    <row r="918" spans="6:8" x14ac:dyDescent="0.5">
      <c r="F918" s="1"/>
      <c r="H918" s="2"/>
    </row>
    <row r="919" spans="6:8" x14ac:dyDescent="0.5">
      <c r="F919" s="1"/>
      <c r="H919" s="2"/>
    </row>
    <row r="920" spans="6:8" x14ac:dyDescent="0.5">
      <c r="F920" s="1"/>
      <c r="H920" s="2"/>
    </row>
    <row r="921" spans="6:8" x14ac:dyDescent="0.5">
      <c r="F921" s="1"/>
      <c r="H921" s="2"/>
    </row>
    <row r="922" spans="6:8" x14ac:dyDescent="0.5">
      <c r="F922" s="1"/>
      <c r="H922" s="2"/>
    </row>
    <row r="923" spans="6:8" x14ac:dyDescent="0.5">
      <c r="F923" s="1"/>
      <c r="H923" s="2"/>
    </row>
    <row r="924" spans="6:8" x14ac:dyDescent="0.5">
      <c r="F924" s="1"/>
      <c r="H924" s="2"/>
    </row>
    <row r="925" spans="6:8" x14ac:dyDescent="0.5">
      <c r="F925" s="1"/>
      <c r="H925" s="2"/>
    </row>
    <row r="926" spans="6:8" x14ac:dyDescent="0.5">
      <c r="F926" s="1"/>
      <c r="H926" s="2"/>
    </row>
    <row r="927" spans="6:8" x14ac:dyDescent="0.5">
      <c r="F927" s="1"/>
      <c r="H927" s="2"/>
    </row>
    <row r="928" spans="6:8" x14ac:dyDescent="0.5">
      <c r="F928" s="1"/>
      <c r="H928" s="2"/>
    </row>
    <row r="929" spans="6:8" x14ac:dyDescent="0.5">
      <c r="F929" s="1"/>
      <c r="H929" s="2"/>
    </row>
    <row r="930" spans="6:8" x14ac:dyDescent="0.5">
      <c r="F930" s="1"/>
      <c r="H930" s="2"/>
    </row>
    <row r="931" spans="6:8" x14ac:dyDescent="0.5">
      <c r="F931" s="1"/>
      <c r="H931" s="2"/>
    </row>
    <row r="932" spans="6:8" x14ac:dyDescent="0.5">
      <c r="F932" s="1"/>
      <c r="H932" s="2"/>
    </row>
    <row r="933" spans="6:8" x14ac:dyDescent="0.5">
      <c r="F933" s="1"/>
      <c r="H933" s="2"/>
    </row>
    <row r="934" spans="6:8" x14ac:dyDescent="0.5">
      <c r="F934" s="1"/>
      <c r="H934" s="2"/>
    </row>
    <row r="935" spans="6:8" x14ac:dyDescent="0.5">
      <c r="F935" s="1"/>
      <c r="H935" s="2"/>
    </row>
    <row r="936" spans="6:8" x14ac:dyDescent="0.5">
      <c r="F936" s="1"/>
      <c r="H936" s="2"/>
    </row>
    <row r="937" spans="6:8" x14ac:dyDescent="0.5">
      <c r="F937" s="1"/>
      <c r="H937" s="2"/>
    </row>
    <row r="938" spans="6:8" x14ac:dyDescent="0.5">
      <c r="F938" s="1"/>
      <c r="H938" s="2"/>
    </row>
    <row r="939" spans="6:8" x14ac:dyDescent="0.5">
      <c r="F939" s="1"/>
      <c r="H939" s="2"/>
    </row>
    <row r="940" spans="6:8" x14ac:dyDescent="0.5">
      <c r="F940" s="1"/>
      <c r="H940" s="2"/>
    </row>
    <row r="941" spans="6:8" x14ac:dyDescent="0.5">
      <c r="F941" s="1"/>
      <c r="H941" s="2"/>
    </row>
    <row r="942" spans="6:8" x14ac:dyDescent="0.5">
      <c r="F942" s="1"/>
      <c r="H942" s="2"/>
    </row>
    <row r="943" spans="6:8" x14ac:dyDescent="0.5">
      <c r="F943" s="1"/>
      <c r="H943" s="2"/>
    </row>
    <row r="944" spans="6:8" x14ac:dyDescent="0.5">
      <c r="F944" s="1"/>
      <c r="H944" s="2"/>
    </row>
    <row r="945" spans="6:8" x14ac:dyDescent="0.5">
      <c r="F945" s="1"/>
      <c r="H945" s="2"/>
    </row>
    <row r="946" spans="6:8" x14ac:dyDescent="0.5">
      <c r="F946" s="1"/>
      <c r="H946" s="2"/>
    </row>
    <row r="947" spans="6:8" x14ac:dyDescent="0.5">
      <c r="F947" s="1"/>
      <c r="H947" s="2"/>
    </row>
    <row r="948" spans="6:8" x14ac:dyDescent="0.5">
      <c r="F948" s="1"/>
      <c r="H948" s="2"/>
    </row>
    <row r="949" spans="6:8" x14ac:dyDescent="0.5">
      <c r="F949" s="1"/>
      <c r="H949" s="2"/>
    </row>
    <row r="950" spans="6:8" x14ac:dyDescent="0.5">
      <c r="F950" s="1"/>
      <c r="H950" s="2"/>
    </row>
    <row r="951" spans="6:8" x14ac:dyDescent="0.5">
      <c r="F951" s="1"/>
      <c r="H951" s="2"/>
    </row>
    <row r="952" spans="6:8" x14ac:dyDescent="0.5">
      <c r="F952" s="1"/>
      <c r="H952" s="2"/>
    </row>
    <row r="953" spans="6:8" x14ac:dyDescent="0.5">
      <c r="F953" s="1"/>
      <c r="H953" s="2"/>
    </row>
    <row r="954" spans="6:8" x14ac:dyDescent="0.5">
      <c r="F954" s="1"/>
      <c r="H954" s="2"/>
    </row>
    <row r="955" spans="6:8" x14ac:dyDescent="0.5">
      <c r="F955" s="1"/>
      <c r="H955" s="2"/>
    </row>
    <row r="956" spans="6:8" x14ac:dyDescent="0.5">
      <c r="F956" s="1"/>
      <c r="H956" s="2"/>
    </row>
    <row r="957" spans="6:8" x14ac:dyDescent="0.5">
      <c r="F957" s="1"/>
      <c r="H957" s="2"/>
    </row>
    <row r="958" spans="6:8" x14ac:dyDescent="0.5">
      <c r="F958" s="1"/>
      <c r="H958" s="2"/>
    </row>
    <row r="959" spans="6:8" x14ac:dyDescent="0.5">
      <c r="F959" s="1"/>
      <c r="H959" s="2"/>
    </row>
    <row r="960" spans="6:8" x14ac:dyDescent="0.5">
      <c r="F960" s="1"/>
      <c r="H960" s="2"/>
    </row>
    <row r="961" spans="6:8" x14ac:dyDescent="0.5">
      <c r="F961" s="1"/>
      <c r="H961" s="2"/>
    </row>
    <row r="962" spans="6:8" x14ac:dyDescent="0.5">
      <c r="F962" s="1"/>
      <c r="H962" s="2"/>
    </row>
    <row r="963" spans="6:8" x14ac:dyDescent="0.5">
      <c r="F963" s="1"/>
      <c r="H963" s="2"/>
    </row>
    <row r="964" spans="6:8" x14ac:dyDescent="0.5">
      <c r="F964" s="1"/>
      <c r="H964" s="2"/>
    </row>
    <row r="965" spans="6:8" x14ac:dyDescent="0.5">
      <c r="F965" s="1"/>
      <c r="H965" s="2"/>
    </row>
    <row r="966" spans="6:8" x14ac:dyDescent="0.5">
      <c r="F966" s="1"/>
      <c r="H966" s="2"/>
    </row>
    <row r="967" spans="6:8" x14ac:dyDescent="0.5">
      <c r="F967" s="1"/>
      <c r="H967" s="2"/>
    </row>
    <row r="968" spans="6:8" x14ac:dyDescent="0.5">
      <c r="F968" s="1"/>
      <c r="H968" s="2"/>
    </row>
    <row r="969" spans="6:8" x14ac:dyDescent="0.5">
      <c r="F969" s="1"/>
      <c r="H969" s="2"/>
    </row>
    <row r="970" spans="6:8" x14ac:dyDescent="0.5">
      <c r="F970" s="1"/>
      <c r="H970" s="2"/>
    </row>
    <row r="971" spans="6:8" x14ac:dyDescent="0.5">
      <c r="F971" s="1"/>
      <c r="H971" s="2"/>
    </row>
    <row r="972" spans="6:8" x14ac:dyDescent="0.5">
      <c r="F972" s="1"/>
      <c r="H972" s="2"/>
    </row>
    <row r="973" spans="6:8" x14ac:dyDescent="0.5">
      <c r="F973" s="1"/>
      <c r="H973" s="2"/>
    </row>
    <row r="974" spans="6:8" x14ac:dyDescent="0.5">
      <c r="F974" s="1"/>
      <c r="H974" s="2"/>
    </row>
    <row r="975" spans="6:8" x14ac:dyDescent="0.5">
      <c r="F975" s="1"/>
      <c r="H975" s="2"/>
    </row>
    <row r="976" spans="6:8" x14ac:dyDescent="0.5">
      <c r="F976" s="1"/>
      <c r="H976" s="2"/>
    </row>
    <row r="977" spans="6:8" x14ac:dyDescent="0.5">
      <c r="F977" s="1"/>
      <c r="H977" s="2"/>
    </row>
    <row r="978" spans="6:8" x14ac:dyDescent="0.5">
      <c r="F978" s="1"/>
      <c r="H978" s="2"/>
    </row>
    <row r="979" spans="6:8" x14ac:dyDescent="0.5">
      <c r="F979" s="1"/>
      <c r="H979" s="2"/>
    </row>
    <row r="980" spans="6:8" x14ac:dyDescent="0.5">
      <c r="F980" s="1"/>
      <c r="H980" s="2"/>
    </row>
    <row r="981" spans="6:8" x14ac:dyDescent="0.5">
      <c r="F981" s="1"/>
      <c r="H981" s="2"/>
    </row>
    <row r="982" spans="6:8" x14ac:dyDescent="0.5">
      <c r="F982" s="1"/>
      <c r="H982" s="2"/>
    </row>
    <row r="983" spans="6:8" x14ac:dyDescent="0.5">
      <c r="F983" s="1"/>
      <c r="H983" s="2"/>
    </row>
    <row r="984" spans="6:8" x14ac:dyDescent="0.5">
      <c r="F984" s="1"/>
      <c r="H984" s="2"/>
    </row>
    <row r="985" spans="6:8" x14ac:dyDescent="0.5">
      <c r="F985" s="1"/>
      <c r="H985" s="2"/>
    </row>
    <row r="986" spans="6:8" x14ac:dyDescent="0.5">
      <c r="F986" s="1"/>
      <c r="H986" s="2"/>
    </row>
    <row r="987" spans="6:8" x14ac:dyDescent="0.5">
      <c r="F987" s="1"/>
      <c r="H987" s="2"/>
    </row>
    <row r="988" spans="6:8" x14ac:dyDescent="0.5">
      <c r="F988" s="1"/>
      <c r="H988" s="2"/>
    </row>
    <row r="989" spans="6:8" x14ac:dyDescent="0.5">
      <c r="F989" s="1"/>
      <c r="H989" s="2"/>
    </row>
    <row r="990" spans="6:8" x14ac:dyDescent="0.5">
      <c r="F990" s="1"/>
      <c r="H990" s="2"/>
    </row>
    <row r="991" spans="6:8" x14ac:dyDescent="0.5">
      <c r="F991" s="1"/>
      <c r="H991" s="2"/>
    </row>
    <row r="992" spans="6:8" x14ac:dyDescent="0.5">
      <c r="F992" s="1"/>
      <c r="H992" s="2"/>
    </row>
    <row r="993" spans="6:8" x14ac:dyDescent="0.5">
      <c r="F993" s="1"/>
      <c r="H993" s="2"/>
    </row>
    <row r="994" spans="6:8" x14ac:dyDescent="0.5">
      <c r="F994" s="1"/>
      <c r="H994" s="2"/>
    </row>
    <row r="995" spans="6:8" x14ac:dyDescent="0.5">
      <c r="F995" s="1"/>
      <c r="H995" s="2"/>
    </row>
    <row r="996" spans="6:8" x14ac:dyDescent="0.5">
      <c r="F996" s="1"/>
      <c r="H996" s="2"/>
    </row>
    <row r="997" spans="6:8" x14ac:dyDescent="0.5">
      <c r="F997" s="1"/>
      <c r="H997" s="2"/>
    </row>
    <row r="998" spans="6:8" x14ac:dyDescent="0.5">
      <c r="F998" s="1"/>
      <c r="H998" s="2"/>
    </row>
    <row r="999" spans="6:8" x14ac:dyDescent="0.5">
      <c r="F999" s="1"/>
      <c r="H999" s="2"/>
    </row>
    <row r="1000" spans="6:8" x14ac:dyDescent="0.5">
      <c r="F1000" s="1"/>
      <c r="H1000" s="2"/>
    </row>
    <row r="1001" spans="6:8" x14ac:dyDescent="0.5">
      <c r="F1001" s="1"/>
      <c r="H1001" s="2"/>
    </row>
    <row r="1002" spans="6:8" x14ac:dyDescent="0.5">
      <c r="F1002" s="1"/>
      <c r="H1002" s="2"/>
    </row>
    <row r="1003" spans="6:8" x14ac:dyDescent="0.5">
      <c r="F1003" s="1"/>
      <c r="H1003" s="2"/>
    </row>
    <row r="1004" spans="6:8" x14ac:dyDescent="0.5">
      <c r="F1004" s="1"/>
      <c r="H1004" s="2"/>
    </row>
    <row r="1005" spans="6:8" x14ac:dyDescent="0.5">
      <c r="F1005" s="1"/>
      <c r="H1005" s="2"/>
    </row>
    <row r="1006" spans="6:8" x14ac:dyDescent="0.5">
      <c r="F1006" s="1"/>
      <c r="H1006" s="2"/>
    </row>
    <row r="1007" spans="6:8" x14ac:dyDescent="0.5">
      <c r="F1007" s="1"/>
      <c r="H1007" s="2"/>
    </row>
    <row r="1008" spans="6:8" x14ac:dyDescent="0.5">
      <c r="F1008" s="1"/>
      <c r="H1008" s="2"/>
    </row>
    <row r="1009" spans="6:8" x14ac:dyDescent="0.5">
      <c r="F1009" s="1"/>
      <c r="H1009" s="2"/>
    </row>
    <row r="1010" spans="6:8" x14ac:dyDescent="0.5">
      <c r="F1010" s="1"/>
      <c r="H1010" s="2"/>
    </row>
    <row r="1011" spans="6:8" x14ac:dyDescent="0.5">
      <c r="F1011" s="1"/>
      <c r="H1011" s="2"/>
    </row>
    <row r="1012" spans="6:8" x14ac:dyDescent="0.5">
      <c r="F1012" s="1"/>
      <c r="H1012" s="2"/>
    </row>
    <row r="1013" spans="6:8" x14ac:dyDescent="0.5">
      <c r="F1013" s="1"/>
      <c r="H1013" s="2"/>
    </row>
    <row r="1014" spans="6:8" x14ac:dyDescent="0.5">
      <c r="F1014" s="1"/>
      <c r="H1014" s="2"/>
    </row>
    <row r="1015" spans="6:8" x14ac:dyDescent="0.5">
      <c r="F1015" s="1"/>
      <c r="H1015" s="2"/>
    </row>
    <row r="1016" spans="6:8" x14ac:dyDescent="0.5">
      <c r="F1016" s="1"/>
      <c r="H1016" s="2"/>
    </row>
    <row r="1017" spans="6:8" x14ac:dyDescent="0.5">
      <c r="F1017" s="1"/>
      <c r="H1017" s="2"/>
    </row>
    <row r="1018" spans="6:8" x14ac:dyDescent="0.5">
      <c r="F1018" s="1"/>
      <c r="H1018" s="2"/>
    </row>
    <row r="1019" spans="6:8" x14ac:dyDescent="0.5">
      <c r="F1019" s="1"/>
      <c r="H1019" s="2"/>
    </row>
    <row r="1020" spans="6:8" x14ac:dyDescent="0.5">
      <c r="F1020" s="1"/>
      <c r="H1020" s="2"/>
    </row>
    <row r="1021" spans="6:8" x14ac:dyDescent="0.5">
      <c r="F1021" s="1"/>
      <c r="H1021" s="2"/>
    </row>
    <row r="1022" spans="6:8" x14ac:dyDescent="0.5">
      <c r="F1022" s="1"/>
      <c r="H1022" s="2"/>
    </row>
    <row r="1023" spans="6:8" x14ac:dyDescent="0.5">
      <c r="F1023" s="1"/>
      <c r="H1023" s="2"/>
    </row>
    <row r="1024" spans="6:8" x14ac:dyDescent="0.5">
      <c r="F1024" s="1"/>
      <c r="H1024" s="2"/>
    </row>
    <row r="1025" spans="6:8" x14ac:dyDescent="0.5">
      <c r="F1025" s="1"/>
      <c r="H1025" s="2"/>
    </row>
    <row r="1026" spans="6:8" x14ac:dyDescent="0.5">
      <c r="F1026" s="1"/>
      <c r="H1026" s="2"/>
    </row>
    <row r="1027" spans="6:8" x14ac:dyDescent="0.5">
      <c r="F1027" s="1"/>
      <c r="H1027" s="2"/>
    </row>
    <row r="1028" spans="6:8" x14ac:dyDescent="0.5">
      <c r="F1028" s="1"/>
      <c r="H1028" s="2"/>
    </row>
    <row r="1029" spans="6:8" x14ac:dyDescent="0.5">
      <c r="F1029" s="1"/>
      <c r="H1029" s="2"/>
    </row>
    <row r="1030" spans="6:8" x14ac:dyDescent="0.5">
      <c r="F1030" s="1"/>
      <c r="H1030" s="2"/>
    </row>
    <row r="1031" spans="6:8" x14ac:dyDescent="0.5">
      <c r="F1031" s="1"/>
      <c r="H1031" s="2"/>
    </row>
    <row r="1032" spans="6:8" x14ac:dyDescent="0.5">
      <c r="F1032" s="1"/>
      <c r="H1032" s="2"/>
    </row>
    <row r="1033" spans="6:8" x14ac:dyDescent="0.5">
      <c r="F1033" s="1"/>
      <c r="H1033" s="2"/>
    </row>
    <row r="1034" spans="6:8" x14ac:dyDescent="0.5">
      <c r="F1034" s="1"/>
      <c r="H1034" s="2"/>
    </row>
    <row r="1035" spans="6:8" x14ac:dyDescent="0.5">
      <c r="F1035" s="1"/>
      <c r="H1035" s="2"/>
    </row>
    <row r="1036" spans="6:8" x14ac:dyDescent="0.5">
      <c r="F1036" s="1"/>
      <c r="H1036" s="2"/>
    </row>
    <row r="1037" spans="6:8" x14ac:dyDescent="0.5">
      <c r="F1037" s="1"/>
      <c r="H1037" s="2"/>
    </row>
    <row r="1038" spans="6:8" x14ac:dyDescent="0.5">
      <c r="F1038" s="1"/>
      <c r="H1038" s="2"/>
    </row>
    <row r="1039" spans="6:8" x14ac:dyDescent="0.5">
      <c r="F1039" s="1"/>
      <c r="H1039" s="2"/>
    </row>
    <row r="1040" spans="6:8" x14ac:dyDescent="0.5">
      <c r="F1040" s="1"/>
      <c r="H1040" s="2"/>
    </row>
    <row r="1041" spans="6:8" x14ac:dyDescent="0.5">
      <c r="F1041" s="1"/>
      <c r="H1041" s="2"/>
    </row>
    <row r="1042" spans="6:8" x14ac:dyDescent="0.5">
      <c r="F1042" s="1"/>
      <c r="H1042" s="2"/>
    </row>
    <row r="1043" spans="6:8" x14ac:dyDescent="0.5">
      <c r="F1043" s="1"/>
      <c r="H1043" s="2"/>
    </row>
    <row r="1044" spans="6:8" x14ac:dyDescent="0.5">
      <c r="F1044" s="1"/>
      <c r="H1044" s="2"/>
    </row>
    <row r="1045" spans="6:8" x14ac:dyDescent="0.5">
      <c r="F1045" s="1"/>
      <c r="H1045" s="2"/>
    </row>
    <row r="1046" spans="6:8" x14ac:dyDescent="0.5">
      <c r="F1046" s="1"/>
      <c r="H1046" s="2"/>
    </row>
    <row r="1047" spans="6:8" x14ac:dyDescent="0.5">
      <c r="F1047" s="1"/>
      <c r="H1047" s="2"/>
    </row>
    <row r="1048" spans="6:8" x14ac:dyDescent="0.5">
      <c r="F1048" s="1"/>
      <c r="H1048" s="2"/>
    </row>
    <row r="1049" spans="6:8" x14ac:dyDescent="0.5">
      <c r="F1049" s="1"/>
      <c r="H1049" s="2"/>
    </row>
    <row r="1050" spans="6:8" x14ac:dyDescent="0.5">
      <c r="F1050" s="1"/>
      <c r="H1050" s="2"/>
    </row>
    <row r="1051" spans="6:8" x14ac:dyDescent="0.5">
      <c r="F1051" s="1"/>
      <c r="H1051" s="2"/>
    </row>
    <row r="1052" spans="6:8" x14ac:dyDescent="0.5">
      <c r="F1052" s="1"/>
      <c r="H1052" s="2"/>
    </row>
    <row r="1053" spans="6:8" x14ac:dyDescent="0.5">
      <c r="F1053" s="1"/>
      <c r="H1053" s="2"/>
    </row>
    <row r="1054" spans="6:8" x14ac:dyDescent="0.5">
      <c r="F1054" s="1"/>
      <c r="H1054" s="2"/>
    </row>
    <row r="1055" spans="6:8" x14ac:dyDescent="0.5">
      <c r="F1055" s="1"/>
      <c r="H1055" s="2"/>
    </row>
    <row r="1056" spans="6:8" x14ac:dyDescent="0.5">
      <c r="F1056" s="1"/>
      <c r="H1056" s="2"/>
    </row>
    <row r="1057" spans="6:8" x14ac:dyDescent="0.5">
      <c r="F1057" s="1"/>
      <c r="H1057" s="2"/>
    </row>
  </sheetData>
  <phoneticPr fontId="1" type="noConversion"/>
  <pageMargins left="0.7" right="0.7" top="0.75" bottom="0.75" header="0.3" footer="0.3"/>
  <ignoredErrors>
    <ignoredError sqref="Q46:S46 Q90:S90 Q134:S134 Q178:S178 Q222:S222 Q266:S266 Q310:S310 Q354:S354 Q398:S398 Q442:S442 Q486:S486 Q530:S530 Q574:S574 Q618:S618 Q662:S662 Q706:S706 Q750:S750 Q794:S79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J</dc:creator>
  <cp:lastModifiedBy>A J</cp:lastModifiedBy>
  <dcterms:created xsi:type="dcterms:W3CDTF">2026-03-30T06:21:29Z</dcterms:created>
  <dcterms:modified xsi:type="dcterms:W3CDTF">2026-04-01T01:30:29Z</dcterms:modified>
</cp:coreProperties>
</file>